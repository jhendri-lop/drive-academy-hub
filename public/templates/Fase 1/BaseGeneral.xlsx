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Videos\Jhendry\"/>
    </mc:Choice>
  </mc:AlternateContent>
  <bookViews>
    <workbookView xWindow="0" yWindow="0" windowWidth="20490" windowHeight="7650"/>
  </bookViews>
  <sheets>
    <sheet name="DAIC 019 2026" sheetId="1" r:id="rId1"/>
    <sheet name="BIOMETRICO" sheetId="5" r:id="rId2"/>
    <sheet name="EXÁMENES " sheetId="11" r:id="rId3"/>
    <sheet name="PLATAFORMA" sheetId="2" state="hidden" r:id="rId4"/>
    <sheet name="PLATAFORMA (2)" sheetId="4" state="hidden" r:id="rId5"/>
    <sheet name="TEORIA" sheetId="3" state="hidden" r:id="rId6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I63" i="1"/>
  <c r="U32" i="1" l="1"/>
  <c r="E32" i="1"/>
  <c r="U20" i="1" l="1"/>
  <c r="U23" i="1"/>
  <c r="U33" i="1"/>
  <c r="U11" i="1"/>
  <c r="U28" i="1"/>
  <c r="U21" i="1"/>
  <c r="U19" i="1"/>
  <c r="U13" i="1" l="1"/>
  <c r="U12" i="1"/>
  <c r="U18" i="1"/>
  <c r="E11" i="1" l="1"/>
  <c r="U14" i="1"/>
  <c r="U29" i="1"/>
  <c r="U26" i="1"/>
  <c r="U27" i="1"/>
  <c r="U24" i="1"/>
  <c r="U17" i="1"/>
  <c r="U22" i="1"/>
  <c r="U16" i="1"/>
  <c r="U31" i="1"/>
  <c r="U25" i="1"/>
  <c r="U30" i="1"/>
  <c r="U15" i="1"/>
  <c r="E13" i="1" l="1"/>
  <c r="E28" i="1"/>
  <c r="E33" i="1"/>
  <c r="E19" i="1"/>
  <c r="E12" i="1"/>
  <c r="E21" i="1"/>
  <c r="E18" i="1"/>
  <c r="E20" i="1"/>
  <c r="E23" i="1"/>
  <c r="E29" i="1"/>
  <c r="E26" i="1"/>
  <c r="E27" i="1"/>
  <c r="E24" i="1"/>
  <c r="E17" i="1"/>
  <c r="E22" i="1"/>
  <c r="E16" i="1"/>
  <c r="E31" i="1"/>
  <c r="E25" i="1"/>
  <c r="E30" i="1"/>
  <c r="E15" i="1"/>
  <c r="E33" i="4" l="1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24" i="2" l="1"/>
  <c r="E33" i="2"/>
  <c r="E32" i="2"/>
  <c r="E31" i="2"/>
  <c r="E30" i="2"/>
  <c r="E29" i="2"/>
  <c r="E28" i="2"/>
  <c r="E27" i="2"/>
  <c r="E26" i="2"/>
  <c r="E25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<sst xmlns="http://schemas.openxmlformats.org/spreadsheetml/2006/main" count="808" uniqueCount="300">
  <si>
    <t>ESCUELA DE CONDUCCION DRIVE ACADEMY ALERTA CONDADO</t>
  </si>
  <si>
    <t xml:space="preserve">NÓMINA DE ESTUDIANTES MATRICULADOS </t>
  </si>
  <si>
    <t>CURSO:</t>
  </si>
  <si>
    <t>No. RESOLUCIÓN</t>
  </si>
  <si>
    <t>N° 18 DCTS-ANT-2013</t>
  </si>
  <si>
    <t>No. OFICIO AUTORIZACIÓN INICIO DE CURSO:</t>
  </si>
  <si>
    <t>ANT-UAP-2022-3036</t>
  </si>
  <si>
    <t>N°</t>
  </si>
  <si>
    <t>Apellidos y Nombres</t>
  </si>
  <si>
    <t>Cedula de Ciudadanía</t>
  </si>
  <si>
    <t>Fecha de Nacimiento</t>
  </si>
  <si>
    <t>EDAD</t>
  </si>
  <si>
    <t xml:space="preserve">Fecha de matricula </t>
  </si>
  <si>
    <t>Direccion</t>
  </si>
  <si>
    <t>Teléfono</t>
  </si>
  <si>
    <t>TIPO DE SANGRE</t>
  </si>
  <si>
    <t>Horario Teoria Lunes a Viernes Virtual</t>
  </si>
  <si>
    <t>Horario Practica Lunes a Viernes Presencial</t>
  </si>
  <si>
    <t>CORREO</t>
  </si>
  <si>
    <t>Garantía Bancaria (25 RBU) Art. 90 Ley de TTTSV Art. 24 Lit. d) Reglamento</t>
  </si>
  <si>
    <t>Nivel de Instrucción</t>
  </si>
  <si>
    <t xml:space="preserve">Observaciones </t>
  </si>
  <si>
    <t>FC</t>
  </si>
  <si>
    <t>FORMA DE PAGO</t>
  </si>
  <si>
    <t>-</t>
  </si>
  <si>
    <t>CONDADO</t>
  </si>
  <si>
    <t>ORH+</t>
  </si>
  <si>
    <t>ADJUNTO CERTIFICADO DE BACHILLER</t>
  </si>
  <si>
    <t>BACHILLERATO</t>
  </si>
  <si>
    <t>BASICA</t>
  </si>
  <si>
    <t xml:space="preserve">SAN ENRIQUE DE VELASCO </t>
  </si>
  <si>
    <t>ADJUNTO CERTIFICADO APROBACION PRIMER AÑO DE BACHILLERATO</t>
  </si>
  <si>
    <t>1723653232</t>
  </si>
  <si>
    <t>TIPO B  DAIC 032-2023</t>
  </si>
  <si>
    <t xml:space="preserve">VASQUEZ CUENCA MARIO ANIBAL </t>
  </si>
  <si>
    <t>1103245476</t>
  </si>
  <si>
    <t xml:space="preserve">ATUCUCHO </t>
  </si>
  <si>
    <t>avilesjesus16@hotmail.es</t>
  </si>
  <si>
    <t>SALDO</t>
  </si>
  <si>
    <t xml:space="preserve">ESPIN BALLADARES CARLOS LEONARDO </t>
  </si>
  <si>
    <t>1725929788</t>
  </si>
  <si>
    <t xml:space="preserve">VALENCIA ZAMBRANO DARWIN FABIAN </t>
  </si>
  <si>
    <t>1311833410</t>
  </si>
  <si>
    <t>0998547848</t>
  </si>
  <si>
    <t>0939076253</t>
  </si>
  <si>
    <t>darwinfabian23@gmail.com</t>
  </si>
  <si>
    <t>ADJUNTO CERTIFICADO  APROBACION CUARTO CURSO</t>
  </si>
  <si>
    <t>LAS CASAS</t>
  </si>
  <si>
    <t xml:space="preserve">PACHECO CHILCAÑAN CARLOS ANDRES </t>
  </si>
  <si>
    <t>1717345795</t>
  </si>
  <si>
    <t>0998745894</t>
  </si>
  <si>
    <t>carlosandres23@gmail.com</t>
  </si>
  <si>
    <t>GARZON MARTINEZ WENDY DAYANARA</t>
  </si>
  <si>
    <t>1721794202</t>
  </si>
  <si>
    <t>0998325130</t>
  </si>
  <si>
    <t>0998439815</t>
  </si>
  <si>
    <t>wendy_gama94@hotmail.es</t>
  </si>
  <si>
    <t>ZAMBRANO CHACAGUASAY ANDREA MICHELLE</t>
  </si>
  <si>
    <t>CARCELEN</t>
  </si>
  <si>
    <t>SUPERIOR</t>
  </si>
  <si>
    <t>QUILLUPANGUI AYO EMILY ARIANA</t>
  </si>
  <si>
    <t>1723884282</t>
  </si>
  <si>
    <t>PUSUQUI</t>
  </si>
  <si>
    <t>0999005452</t>
  </si>
  <si>
    <t>098581419</t>
  </si>
  <si>
    <t>arianaquillupangui@gmail.com</t>
  </si>
  <si>
    <t xml:space="preserve">GALARZA VILLARRUEL ANDRES DAVID </t>
  </si>
  <si>
    <t>ARTEAGA ENCALADA MANUEL GILBERTO</t>
  </si>
  <si>
    <t>1707038889</t>
  </si>
  <si>
    <t>0992894668</t>
  </si>
  <si>
    <t>manuelartega1508@gmail.com</t>
  </si>
  <si>
    <t xml:space="preserve">SANCHEZ HIDALGO LILIAN PATRICIA </t>
  </si>
  <si>
    <t>1715055156</t>
  </si>
  <si>
    <t>0987873391</t>
  </si>
  <si>
    <t>sanchezpa77@hotmail.com</t>
  </si>
  <si>
    <t>SIMBAÑA CORONADO MARIANA ELIZABETH</t>
  </si>
  <si>
    <t>1723672463</t>
  </si>
  <si>
    <t>0987858744</t>
  </si>
  <si>
    <t>marianaelizabeth@hotmail.com</t>
  </si>
  <si>
    <t>VALLEJO CHAMORRO DARWIN BENANCIO</t>
  </si>
  <si>
    <t>1720748183</t>
  </si>
  <si>
    <t xml:space="preserve">ROSADO INTRIAGO MARIELA DEL CARMEN </t>
  </si>
  <si>
    <t>1311459398</t>
  </si>
  <si>
    <t>0998745874</t>
  </si>
  <si>
    <t>1751621465</t>
  </si>
  <si>
    <t>0998290777</t>
  </si>
  <si>
    <t>liga1045@hotmail.com</t>
  </si>
  <si>
    <t xml:space="preserve">COTOCOLLAO </t>
  </si>
  <si>
    <t>rosadointriago23@gmail.com</t>
  </si>
  <si>
    <t>LA OFELIA</t>
  </si>
  <si>
    <t>1721704748</t>
  </si>
  <si>
    <t xml:space="preserve">SAN ANTONIO </t>
  </si>
  <si>
    <t>0988835942</t>
  </si>
  <si>
    <t>carmencarcelen06@gmail.com</t>
  </si>
  <si>
    <t xml:space="preserve">PRADO CHICAIZA ALESSANDRO SEBASTIAN </t>
  </si>
  <si>
    <t xml:space="preserve">LA ROLDOS </t>
  </si>
  <si>
    <t>alexagosto1675@hotmail.com</t>
  </si>
  <si>
    <t>0979113039</t>
  </si>
  <si>
    <t>carlos151009leo@gamil.com</t>
  </si>
  <si>
    <t>DEL ROSARIO SILVA ALLISON FABIOLA</t>
  </si>
  <si>
    <t>1205425653</t>
  </si>
  <si>
    <t>0962797015</t>
  </si>
  <si>
    <t>fabiola-1359@hotmail.com</t>
  </si>
  <si>
    <t xml:space="preserve">PAREDES CAMAÑERO DANIELA CAROLINA </t>
  </si>
  <si>
    <t>1752693927</t>
  </si>
  <si>
    <t>caritoparedes20@gmail.com</t>
  </si>
  <si>
    <t>VARGAS HUERTAS MARISOL</t>
  </si>
  <si>
    <t>1759456922</t>
  </si>
  <si>
    <t>HERRERA GUTIERREZ MARIA EMILIA</t>
  </si>
  <si>
    <t>1726964008</t>
  </si>
  <si>
    <t>0991344692</t>
  </si>
  <si>
    <t>emilia2005maria@gmail.com</t>
  </si>
  <si>
    <t>AV. ELOY ALFARO Y BELGICA</t>
  </si>
  <si>
    <t>0984174101</t>
  </si>
  <si>
    <t>marisolvh@gmail.com</t>
  </si>
  <si>
    <t>1753179991</t>
  </si>
  <si>
    <t>0985784584</t>
  </si>
  <si>
    <t>josuebrvo23@yahoo.com</t>
  </si>
  <si>
    <t xml:space="preserve">BRAVO CAUTULLIN JOSUE ALEXANDER </t>
  </si>
  <si>
    <t>PALACIOS MERA CALIXTO STALIN</t>
  </si>
  <si>
    <t>1717568677</t>
  </si>
  <si>
    <t>0998547845</t>
  </si>
  <si>
    <t>calixtostalin23@hotmial.com</t>
  </si>
  <si>
    <t>ADJUNTO CERTIFICADO APROBACION SEGUNDO AÑO DE BACHILLERATO</t>
  </si>
  <si>
    <t xml:space="preserve">ORTEGA GUERRERO SHIRLEY ABIGAIL </t>
  </si>
  <si>
    <t>1718937384</t>
  </si>
  <si>
    <t>shirleyabigail96@gmail.com</t>
  </si>
  <si>
    <t>ADJUNTO CERTIFICADO HOMOLOGACION TITULO DE BACHILLER</t>
  </si>
  <si>
    <t>ADJUNTO CERTIFICADO  APROBACION PRIMER AÑO DE BACHILLERATO</t>
  </si>
  <si>
    <t xml:space="preserve">FLORES ALCIVAR CARMEN JANETH </t>
  </si>
  <si>
    <t>0998578541</t>
  </si>
  <si>
    <t>galarzavillarruel23@gmail.com</t>
  </si>
  <si>
    <t>0987845874</t>
  </si>
  <si>
    <t>0987043328</t>
  </si>
  <si>
    <t>0980937266</t>
  </si>
  <si>
    <t>POMASQUI</t>
  </si>
  <si>
    <t>SAN CARLOS</t>
  </si>
  <si>
    <t xml:space="preserve">SEGARRA GUANGA JORGE LUIS </t>
  </si>
  <si>
    <t>1713141651</t>
  </si>
  <si>
    <t>0987053681</t>
  </si>
  <si>
    <t>0986157731</t>
  </si>
  <si>
    <t>jorgeluisacanne@hotmail.com</t>
  </si>
  <si>
    <t>1727563627</t>
  </si>
  <si>
    <t>MITAD DEL MUNDO</t>
  </si>
  <si>
    <t>0979164536</t>
  </si>
  <si>
    <t>0984696080</t>
  </si>
  <si>
    <t>cecy7798@gmail.com</t>
  </si>
  <si>
    <t>SANCHEZ NUÑEZ MYRIAM CECILIA</t>
  </si>
  <si>
    <t>GUAY</t>
  </si>
  <si>
    <t xml:space="preserve">QUITO CATAÑA DARWIN LIZANDRO </t>
  </si>
  <si>
    <t>0606038925</t>
  </si>
  <si>
    <t>T Y P OK</t>
  </si>
  <si>
    <t>DAIC  032 2023 (7-12  DICIEMBRE-2023)</t>
  </si>
  <si>
    <t>FECHA</t>
  </si>
  <si>
    <t>NOMBRES Y APELLIDOS</t>
  </si>
  <si>
    <t>TELÉFONO</t>
  </si>
  <si>
    <t xml:space="preserve">HORARIOS </t>
  </si>
  <si>
    <t xml:space="preserve">ID </t>
  </si>
  <si>
    <t>TARJETA</t>
  </si>
  <si>
    <t>VALOR TOTAL</t>
  </si>
  <si>
    <t>ABONO</t>
  </si>
  <si>
    <t>ECUATORIANA</t>
  </si>
  <si>
    <t>TIPO B  DAIC 019 2026</t>
  </si>
  <si>
    <t>DESDE EL 16 HASTA EL 24 DE JULIO 2026</t>
  </si>
  <si>
    <t xml:space="preserve">ESPIN BERMELLO BRYAN ALEXANDER </t>
  </si>
  <si>
    <t>1755852538</t>
  </si>
  <si>
    <t>0989058927</t>
  </si>
  <si>
    <t>ARH+</t>
  </si>
  <si>
    <t>08H00-10H00</t>
  </si>
  <si>
    <t>12H00-14H00</t>
  </si>
  <si>
    <t>alexespin965@gmail.com</t>
  </si>
  <si>
    <t xml:space="preserve">ADJUNTO CERTIFICADO DE BACHILLER </t>
  </si>
  <si>
    <t>ADC 06 JULIO</t>
  </si>
  <si>
    <t xml:space="preserve">JAMA LOPEZ JAIME JOVANNY </t>
  </si>
  <si>
    <t>1204716995</t>
  </si>
  <si>
    <t>jaimejama@hotmail.com</t>
  </si>
  <si>
    <t>GUAYLLABAMBA</t>
  </si>
  <si>
    <t xml:space="preserve">VALENCIA GUAICO ZAHID MIJAEL </t>
  </si>
  <si>
    <t>1753673837</t>
  </si>
  <si>
    <t>EL CONDADO</t>
  </si>
  <si>
    <t>0982063595</t>
  </si>
  <si>
    <t>0961021278</t>
  </si>
  <si>
    <t>20H00-22H00</t>
  </si>
  <si>
    <t>valenciagzahid9nok@gmail.com</t>
  </si>
  <si>
    <t>PRAC- TEOR OK</t>
  </si>
  <si>
    <t xml:space="preserve">ACERO CEVALLOS KEVIN ALEXANDER </t>
  </si>
  <si>
    <t>1725219412</t>
  </si>
  <si>
    <t>CIUDAD BICENTENARIO</t>
  </si>
  <si>
    <t>0992505946</t>
  </si>
  <si>
    <t>14H00-16H00</t>
  </si>
  <si>
    <t>kacero688@gmail.com</t>
  </si>
  <si>
    <t>ADJUNTO TÍTULO DE BACHILLER</t>
  </si>
  <si>
    <t xml:space="preserve">MANCILLA CARBO VIVIANA RAQUEL </t>
  </si>
  <si>
    <t>1755098371</t>
  </si>
  <si>
    <t xml:space="preserve">COLINAS DEL NORTE </t>
  </si>
  <si>
    <t>0968648105</t>
  </si>
  <si>
    <t>mancillaviviana2@gmail.com</t>
  </si>
  <si>
    <t xml:space="preserve">FLORES GUACHAMIN DIEGO FABIAN </t>
  </si>
  <si>
    <t>1752117778</t>
  </si>
  <si>
    <t xml:space="preserve">MITAD DEL MUNDO </t>
  </si>
  <si>
    <t>0992240450</t>
  </si>
  <si>
    <t>diegofloresdecimoc@gmail.com</t>
  </si>
  <si>
    <t>1759978891</t>
  </si>
  <si>
    <t xml:space="preserve">CONOCOTO </t>
  </si>
  <si>
    <t>0985207371</t>
  </si>
  <si>
    <t>0982315438</t>
  </si>
  <si>
    <t>danirachel24@gmail.com</t>
  </si>
  <si>
    <t>VENEZOLANA</t>
  </si>
  <si>
    <t>ADJUNTO CERTIFICADO APROBACIÓN TÍTULO SUPERIOR</t>
  </si>
  <si>
    <t>EFREN LOPEZ
PAPELES</t>
  </si>
  <si>
    <t xml:space="preserve">DUARTE CAÑA DANIREE DEL CARMEN </t>
  </si>
  <si>
    <t>100( 53124473)
50 (52862152)</t>
  </si>
  <si>
    <t xml:space="preserve">BASTIDAS MARIA CRUZ </t>
  </si>
  <si>
    <t>1759521402</t>
  </si>
  <si>
    <t>SAN ANTONIO DE PICHINCHA</t>
  </si>
  <si>
    <t>0993791860</t>
  </si>
  <si>
    <t>mariacruzbastidas958@gmail.com</t>
  </si>
  <si>
    <t>COLOMBIANA</t>
  </si>
  <si>
    <t>ADJUNTO CERTIFICADO HOMOLOGACIÓN TÍTULO DE BACHILLER</t>
  </si>
  <si>
    <t xml:space="preserve">ARROYO BASTIDAS ANYI YOMAR </t>
  </si>
  <si>
    <t>1759521410</t>
  </si>
  <si>
    <t>0958850580</t>
  </si>
  <si>
    <t>16H00-18H00</t>
  </si>
  <si>
    <t>anyiyomar1517@gmail.com</t>
  </si>
  <si>
    <t xml:space="preserve">CORDOVA COLLAGUAZO HOWAR RUDBEL </t>
  </si>
  <si>
    <t>1714252887</t>
  </si>
  <si>
    <t>IÑAQUITO</t>
  </si>
  <si>
    <t>0991258343</t>
  </si>
  <si>
    <t xml:space="preserve">BAZURTO CALDERON JORDAN ALFREDO </t>
  </si>
  <si>
    <t>2350393944</t>
  </si>
  <si>
    <t>0990744804</t>
  </si>
  <si>
    <t>bazurtojordan30@gmail.com</t>
  </si>
  <si>
    <t xml:space="preserve">PROAÑO LOPEZ BRYAN ALEXIS </t>
  </si>
  <si>
    <t>1804928701</t>
  </si>
  <si>
    <t>proanobryan@gmail.com</t>
  </si>
  <si>
    <t>DON ROBERTO 
PAPELES</t>
  </si>
  <si>
    <t xml:space="preserve">LOMAS ESPINOSA REMIGIO GUSTAVO </t>
  </si>
  <si>
    <t>1707507313</t>
  </si>
  <si>
    <t>0997874124</t>
  </si>
  <si>
    <t>lomasremigio@gmail.com</t>
  </si>
  <si>
    <t xml:space="preserve">ADJUNTO CERTIFICADO SEGUNDO AÑO DE BACHILLERATO </t>
  </si>
  <si>
    <t xml:space="preserve">LOMAS ESPINOSA VERONICA ALEXANDRA </t>
  </si>
  <si>
    <t>1707524987</t>
  </si>
  <si>
    <t>0997426549</t>
  </si>
  <si>
    <t>lomasespinosaveronica@gmail.com</t>
  </si>
  <si>
    <t xml:space="preserve">JIMENEZ GONZALEZ INMAILIS PIERINA </t>
  </si>
  <si>
    <t>1761770716</t>
  </si>
  <si>
    <t>0997416547</t>
  </si>
  <si>
    <t>jimenezinmailis@gmail.com</t>
  </si>
  <si>
    <t>ADJUJNTO TÍTULO DE BACHILLER</t>
  </si>
  <si>
    <t xml:space="preserve">CHIPE ZAMBRANO CRISTIAN ALEJANDRO </t>
  </si>
  <si>
    <t>1723393623</t>
  </si>
  <si>
    <t>0995743697</t>
  </si>
  <si>
    <t>chipe@hotmail.es</t>
  </si>
  <si>
    <t xml:space="preserve">FLORES HERRERIA JOSSELYN DE LOS ANGELES </t>
  </si>
  <si>
    <t>1717727059</t>
  </si>
  <si>
    <t>josselyn23@gmail.com</t>
  </si>
  <si>
    <t xml:space="preserve">CHIMARRO QUISHPE YAQUELIN YOLANDA </t>
  </si>
  <si>
    <t>1728444959</t>
  </si>
  <si>
    <t>0997456983</t>
  </si>
  <si>
    <t>chimarro23@gmail.com</t>
  </si>
  <si>
    <t xml:space="preserve">SANCHEZ FLORES JEFFERSON JAVIER </t>
  </si>
  <si>
    <t>1727539163</t>
  </si>
  <si>
    <t>0997484977</t>
  </si>
  <si>
    <t>jefferson2001@gmail.com</t>
  </si>
  <si>
    <t xml:space="preserve">LICTO TALLANA JEAN PIERE </t>
  </si>
  <si>
    <t>1755801535</t>
  </si>
  <si>
    <t xml:space="preserve">CARCAYACU </t>
  </si>
  <si>
    <t>0962098670</t>
  </si>
  <si>
    <t>jeanpierelicto@gmail.com</t>
  </si>
  <si>
    <t>1752591915</t>
  </si>
  <si>
    <t>0995741356</t>
  </si>
  <si>
    <t>pumanderson@gmail.com</t>
  </si>
  <si>
    <t xml:space="preserve">FALTA PAGO </t>
  </si>
  <si>
    <t>0997413597</t>
  </si>
  <si>
    <t>cordovahowar755@gmail.com</t>
  </si>
  <si>
    <t xml:space="preserve">ADJUNTO CERTIFICADO APROBACIÓN SEGUNDO AÑO DE BACHILLERATO </t>
  </si>
  <si>
    <t>PLATAFORMA
SI ASISTE
DOMICILIO</t>
  </si>
  <si>
    <t>ZABALA</t>
  </si>
  <si>
    <t xml:space="preserve">CALDERON </t>
  </si>
  <si>
    <t>REAL AUDIENCIA</t>
  </si>
  <si>
    <t>0961115194</t>
  </si>
  <si>
    <t>10H00-12H00</t>
  </si>
  <si>
    <t>jannethchicaiza1988@gmail.com</t>
  </si>
  <si>
    <t>CERTI ESTUDIOS</t>
  </si>
  <si>
    <t xml:space="preserve">CHICAIZA CAJAMARCA MAYRA JANNETH </t>
  </si>
  <si>
    <t>1719565432</t>
  </si>
  <si>
    <t>ABRH+</t>
  </si>
  <si>
    <t xml:space="preserve">PUMA CALUÑA ANDERSON STIVEN </t>
  </si>
  <si>
    <t xml:space="preserve">SANCHEZ REMACHE JUAN FRANCISCO </t>
  </si>
  <si>
    <t>1714616768</t>
  </si>
  <si>
    <t xml:space="preserve">SAN JOSE DE OBRERO </t>
  </si>
  <si>
    <t>0983494803</t>
  </si>
  <si>
    <t>ds0719963@gmail.com</t>
  </si>
  <si>
    <t>EFECTIVO</t>
  </si>
  <si>
    <t>0995713566</t>
  </si>
  <si>
    <t xml:space="preserve">ADJUNTO CERTIFICADO APROBACIÓN PRIMER AÑO DE BACHILLERATO </t>
  </si>
  <si>
    <t>18H00-20H00</t>
  </si>
  <si>
    <t>BIOMETRICO DAIC 019 2026 (DESDE 16 HASTA EL 24 DE JULIO  2026)</t>
  </si>
  <si>
    <t>EXÁMENES DAIC 019 2026 (DESDE 16 HASTA EL 24 DE JULIO 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</si>
</sst>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b/>
      <sz val="11"/>
      <color rgb="FF000000"/>
      <name val="Calibri"/>
      <family val="2"/>
      <scheme val="minor"/>
    </font>
    <font>
      <b/>
      <sz val="13"/>
      <color rgb="FF000000"/>
      <name val="Arial Narrow"/>
      <family val="2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0000"/>
      <name val="Calibri"/>
      <family val="2"/>
      <scheme val="minor"/>
    </font>
    <font>
      <sz val="1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1" xfId="0" applyFill="1" applyBorder="1"/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2" fillId="0" borderId="2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/>
    </xf>
    <xf numFmtId="49" fontId="7" fillId="0" borderId="7" xfId="0" applyNumberFormat="1" applyFont="1" applyFill="1" applyBorder="1" applyAlignment="1">
      <alignment horizontal="left" vertical="center"/>
    </xf>
    <xf numFmtId="14" fontId="7" fillId="0" borderId="7" xfId="0" applyNumberFormat="1" applyFont="1" applyFill="1" applyBorder="1" applyAlignment="1">
      <alignment horizontal="left" vertical="center"/>
    </xf>
    <xf numFmtId="1" fontId="7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0" xfId="0" applyFont="1"/>
    <xf numFmtId="0" fontId="10" fillId="0" borderId="7" xfId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49" fontId="7" fillId="0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left" vertical="center"/>
    </xf>
    <xf numFmtId="1" fontId="7" fillId="0" borderId="8" xfId="0" applyNumberFormat="1" applyFont="1" applyFill="1" applyBorder="1" applyAlignment="1">
      <alignment horizontal="center" vertical="center"/>
    </xf>
    <xf numFmtId="0" fontId="10" fillId="0" borderId="8" xfId="1" applyFill="1" applyBorder="1" applyAlignment="1">
      <alignment horizontal="center" vertical="center"/>
    </xf>
    <xf numFmtId="16" fontId="7" fillId="0" borderId="8" xfId="0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2" fillId="0" borderId="8" xfId="0" applyFont="1" applyBorder="1"/>
    <xf numFmtId="0" fontId="4" fillId="0" borderId="3" xfId="0" applyFont="1" applyBorder="1" applyAlignment="1">
      <alignment horizontal="center" vertical="center"/>
    </xf>
    <xf numFmtId="0" fontId="1" fillId="0" borderId="8" xfId="0" applyFont="1" applyBorder="1"/>
    <xf numFmtId="0" fontId="0" fillId="0" borderId="8" xfId="0" applyBorder="1"/>
    <xf numFmtId="0" fontId="1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0" fillId="3" borderId="8" xfId="0" applyFill="1" applyBorder="1"/>
    <xf numFmtId="0" fontId="0" fillId="0" borderId="8" xfId="0" applyBorder="1" applyAlignment="1">
      <alignment vertical="center"/>
    </xf>
    <xf numFmtId="0" fontId="7" fillId="2" borderId="0" xfId="0" applyFont="1" applyFill="1"/>
    <xf numFmtId="0" fontId="0" fillId="0" borderId="8" xfId="0" applyBorder="1" applyAlignment="1">
      <alignment vertical="center" wrapText="1"/>
    </xf>
    <xf numFmtId="0" fontId="9" fillId="2" borderId="8" xfId="0" applyFont="1" applyFill="1" applyBorder="1" applyAlignment="1">
      <alignment horizontal="center" vertical="center"/>
    </xf>
    <xf numFmtId="164" fontId="7" fillId="2" borderId="0" xfId="0" applyNumberFormat="1" applyFont="1" applyFill="1"/>
    <xf numFmtId="14" fontId="7" fillId="0" borderId="0" xfId="0" applyNumberFormat="1" applyFont="1"/>
    <xf numFmtId="0" fontId="8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13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1" fillId="0" borderId="0" xfId="0" applyFont="1" applyFill="1" applyBorder="1"/>
    <xf numFmtId="0" fontId="12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12" fillId="0" borderId="0" xfId="0" applyFont="1" applyFill="1"/>
    <xf numFmtId="16" fontId="12" fillId="0" borderId="0" xfId="0" applyNumberFormat="1" applyFont="1" applyFill="1"/>
    <xf numFmtId="164" fontId="9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/>
    <xf numFmtId="0" fontId="1" fillId="0" borderId="0" xfId="0" applyFont="1" applyAlignment="1">
      <alignment vertical="center"/>
    </xf>
    <xf numFmtId="0" fontId="10" fillId="2" borderId="7" xfId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" fontId="7" fillId="0" borderId="7" xfId="0" applyNumberFormat="1" applyFont="1" applyFill="1" applyBorder="1" applyAlignment="1">
      <alignment horizontal="left" vertical="center"/>
    </xf>
    <xf numFmtId="15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164" fontId="15" fillId="2" borderId="13" xfId="0" applyNumberFormat="1" applyFont="1" applyFill="1" applyBorder="1" applyAlignment="1">
      <alignment horizontal="center" vertical="center" wrapText="1"/>
    </xf>
    <xf numFmtId="164" fontId="15" fillId="2" borderId="7" xfId="0" applyNumberFormat="1" applyFont="1" applyFill="1" applyBorder="1" applyAlignment="1">
      <alignment horizontal="center" vertical="center"/>
    </xf>
    <xf numFmtId="164" fontId="15" fillId="0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5" fillId="0" borderId="14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180" wrapText="1"/>
    </xf>
    <xf numFmtId="0" fontId="1" fillId="0" borderId="3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0" fillId="2" borderId="8" xfId="0" applyFill="1" applyBorder="1"/>
    <xf numFmtId="49" fontId="7" fillId="4" borderId="7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CCFF"/>
      <color rgb="FFFF99CC"/>
      <color rgb="FFFF660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selyn23@gmail.com" TargetMode="External"/><Relationship Id="rId13" Type="http://schemas.openxmlformats.org/officeDocument/2006/relationships/hyperlink" Target="mailto:proanobryan@gmail.com" TargetMode="External"/><Relationship Id="rId18" Type="http://schemas.openxmlformats.org/officeDocument/2006/relationships/hyperlink" Target="mailto:diegofloresdecimoc@gmail.com" TargetMode="External"/><Relationship Id="rId3" Type="http://schemas.openxmlformats.org/officeDocument/2006/relationships/hyperlink" Target="mailto:cordovahowar755@gmail.com" TargetMode="External"/><Relationship Id="rId21" Type="http://schemas.openxmlformats.org/officeDocument/2006/relationships/hyperlink" Target="mailto:valenciagzahid9nok@gmail.com" TargetMode="External"/><Relationship Id="rId7" Type="http://schemas.openxmlformats.org/officeDocument/2006/relationships/hyperlink" Target="mailto:chimarro23@gmail.com" TargetMode="External"/><Relationship Id="rId12" Type="http://schemas.openxmlformats.org/officeDocument/2006/relationships/hyperlink" Target="mailto:lomasremigio@gmail.com" TargetMode="External"/><Relationship Id="rId17" Type="http://schemas.openxmlformats.org/officeDocument/2006/relationships/hyperlink" Target="mailto:danirachel24@gmail.com" TargetMode="External"/><Relationship Id="rId2" Type="http://schemas.openxmlformats.org/officeDocument/2006/relationships/hyperlink" Target="mailto:jannethchicaiza1988@gmail.com" TargetMode="External"/><Relationship Id="rId16" Type="http://schemas.openxmlformats.org/officeDocument/2006/relationships/hyperlink" Target="mailto:mariacruzbastidas958@gmail.com" TargetMode="External"/><Relationship Id="rId20" Type="http://schemas.openxmlformats.org/officeDocument/2006/relationships/hyperlink" Target="mailto:kacero688@gmail.com" TargetMode="External"/><Relationship Id="rId1" Type="http://schemas.openxmlformats.org/officeDocument/2006/relationships/hyperlink" Target="mailto:ds0719963@gmail.com" TargetMode="External"/><Relationship Id="rId6" Type="http://schemas.openxmlformats.org/officeDocument/2006/relationships/hyperlink" Target="mailto:jefferson2001@gmail.com" TargetMode="External"/><Relationship Id="rId11" Type="http://schemas.openxmlformats.org/officeDocument/2006/relationships/hyperlink" Target="mailto:lomasespinosaveronica@gmail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jeanpierelicto@gmail.com" TargetMode="External"/><Relationship Id="rId15" Type="http://schemas.openxmlformats.org/officeDocument/2006/relationships/hyperlink" Target="mailto:anyiyomar1517@gmail.com" TargetMode="External"/><Relationship Id="rId23" Type="http://schemas.openxmlformats.org/officeDocument/2006/relationships/hyperlink" Target="mailto:alexespin965@gmail.com" TargetMode="External"/><Relationship Id="rId10" Type="http://schemas.openxmlformats.org/officeDocument/2006/relationships/hyperlink" Target="mailto:jimenezinmailis@gmail.com" TargetMode="External"/><Relationship Id="rId19" Type="http://schemas.openxmlformats.org/officeDocument/2006/relationships/hyperlink" Target="mailto:mancillaviviana2@gmail.com" TargetMode="External"/><Relationship Id="rId4" Type="http://schemas.openxmlformats.org/officeDocument/2006/relationships/hyperlink" Target="mailto:pumanderson@gmail.com" TargetMode="External"/><Relationship Id="rId9" Type="http://schemas.openxmlformats.org/officeDocument/2006/relationships/hyperlink" Target="mailto:chipe@hotmail.es" TargetMode="External"/><Relationship Id="rId14" Type="http://schemas.openxmlformats.org/officeDocument/2006/relationships/hyperlink" Target="mailto:bazurtojordan30@gmail.com" TargetMode="External"/><Relationship Id="rId22" Type="http://schemas.openxmlformats.org/officeDocument/2006/relationships/hyperlink" Target="mailto:jaimejama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naelizabeth@hotmail.com" TargetMode="External"/><Relationship Id="rId13" Type="http://schemas.openxmlformats.org/officeDocument/2006/relationships/hyperlink" Target="mailto:carlos151009leo@gamil.com" TargetMode="External"/><Relationship Id="rId18" Type="http://schemas.openxmlformats.org/officeDocument/2006/relationships/hyperlink" Target="mailto:josuebrvo23@yahoo.com" TargetMode="External"/><Relationship Id="rId3" Type="http://schemas.openxmlformats.org/officeDocument/2006/relationships/hyperlink" Target="mailto:carlosandres23@gmail.com" TargetMode="External"/><Relationship Id="rId21" Type="http://schemas.openxmlformats.org/officeDocument/2006/relationships/hyperlink" Target="mailto:galarzavillarruel23@gmail.com" TargetMode="External"/><Relationship Id="rId7" Type="http://schemas.openxmlformats.org/officeDocument/2006/relationships/hyperlink" Target="mailto:sanchezpa77@hotmail.com" TargetMode="External"/><Relationship Id="rId12" Type="http://schemas.openxmlformats.org/officeDocument/2006/relationships/hyperlink" Target="mailto:alexagosto1675@hotmail.com" TargetMode="External"/><Relationship Id="rId17" Type="http://schemas.openxmlformats.org/officeDocument/2006/relationships/hyperlink" Target="mailto:emilia2005maria@gmail.com" TargetMode="External"/><Relationship Id="rId2" Type="http://schemas.openxmlformats.org/officeDocument/2006/relationships/hyperlink" Target="mailto:darwinfabian23@gmail.com" TargetMode="External"/><Relationship Id="rId16" Type="http://schemas.openxmlformats.org/officeDocument/2006/relationships/hyperlink" Target="mailto:marisolvh@gmail.com" TargetMode="External"/><Relationship Id="rId20" Type="http://schemas.openxmlformats.org/officeDocument/2006/relationships/hyperlink" Target="mailto:shirleyabigail96@gmail.com" TargetMode="External"/><Relationship Id="rId1" Type="http://schemas.openxmlformats.org/officeDocument/2006/relationships/hyperlink" Target="mailto:avilesjesus16@hotmail.es" TargetMode="External"/><Relationship Id="rId6" Type="http://schemas.openxmlformats.org/officeDocument/2006/relationships/hyperlink" Target="mailto:manuelartega1508@gmail.com" TargetMode="External"/><Relationship Id="rId11" Type="http://schemas.openxmlformats.org/officeDocument/2006/relationships/hyperlink" Target="mailto:carmencarcelen06@gmail.com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mailto:arianaquillupangui@gmail.com" TargetMode="External"/><Relationship Id="rId15" Type="http://schemas.openxmlformats.org/officeDocument/2006/relationships/hyperlink" Target="mailto:caritoparedes20@gmail.com" TargetMode="External"/><Relationship Id="rId23" Type="http://schemas.openxmlformats.org/officeDocument/2006/relationships/hyperlink" Target="mailto:cecy7798@gmail.com" TargetMode="External"/><Relationship Id="rId10" Type="http://schemas.openxmlformats.org/officeDocument/2006/relationships/hyperlink" Target="mailto:rosadointriago23@gmail.com" TargetMode="External"/><Relationship Id="rId19" Type="http://schemas.openxmlformats.org/officeDocument/2006/relationships/hyperlink" Target="mailto:calixtostalin23@hotmial.com" TargetMode="External"/><Relationship Id="rId4" Type="http://schemas.openxmlformats.org/officeDocument/2006/relationships/hyperlink" Target="mailto:wendy_gama94@hotmail.es" TargetMode="External"/><Relationship Id="rId9" Type="http://schemas.openxmlformats.org/officeDocument/2006/relationships/hyperlink" Target="mailto:liga1045@hotmail.com" TargetMode="External"/><Relationship Id="rId14" Type="http://schemas.openxmlformats.org/officeDocument/2006/relationships/hyperlink" Target="mailto:fabiola-1359@hotmail.com" TargetMode="External"/><Relationship Id="rId22" Type="http://schemas.openxmlformats.org/officeDocument/2006/relationships/hyperlink" Target="mailto:jorgeluisacanne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naelizabeth@hotmail.com" TargetMode="External"/><Relationship Id="rId13" Type="http://schemas.openxmlformats.org/officeDocument/2006/relationships/hyperlink" Target="mailto:carlos151009leo@gamil.com" TargetMode="External"/><Relationship Id="rId18" Type="http://schemas.openxmlformats.org/officeDocument/2006/relationships/hyperlink" Target="mailto:josuebrvo23@yahoo.com" TargetMode="External"/><Relationship Id="rId3" Type="http://schemas.openxmlformats.org/officeDocument/2006/relationships/hyperlink" Target="mailto:carlosandres23@gmail.com" TargetMode="External"/><Relationship Id="rId21" Type="http://schemas.openxmlformats.org/officeDocument/2006/relationships/hyperlink" Target="mailto:galarzavillarruel23@gmail.com" TargetMode="External"/><Relationship Id="rId7" Type="http://schemas.openxmlformats.org/officeDocument/2006/relationships/hyperlink" Target="mailto:sanchezpa77@hotmail.com" TargetMode="External"/><Relationship Id="rId12" Type="http://schemas.openxmlformats.org/officeDocument/2006/relationships/hyperlink" Target="mailto:alexagosto1675@hotmail.com" TargetMode="External"/><Relationship Id="rId17" Type="http://schemas.openxmlformats.org/officeDocument/2006/relationships/hyperlink" Target="mailto:emilia2005maria@gmail.com" TargetMode="External"/><Relationship Id="rId2" Type="http://schemas.openxmlformats.org/officeDocument/2006/relationships/hyperlink" Target="mailto:darwinfabian23@gmail.com" TargetMode="External"/><Relationship Id="rId16" Type="http://schemas.openxmlformats.org/officeDocument/2006/relationships/hyperlink" Target="mailto:marisolvh@gmail.com" TargetMode="External"/><Relationship Id="rId20" Type="http://schemas.openxmlformats.org/officeDocument/2006/relationships/hyperlink" Target="mailto:shirleyabigail96@gmail.com" TargetMode="External"/><Relationship Id="rId1" Type="http://schemas.openxmlformats.org/officeDocument/2006/relationships/hyperlink" Target="mailto:avilesjesus16@hotmail.es" TargetMode="External"/><Relationship Id="rId6" Type="http://schemas.openxmlformats.org/officeDocument/2006/relationships/hyperlink" Target="mailto:manuelartega1508@gmail.com" TargetMode="External"/><Relationship Id="rId11" Type="http://schemas.openxmlformats.org/officeDocument/2006/relationships/hyperlink" Target="mailto:carmencarcelen06@gmail.com" TargetMode="External"/><Relationship Id="rId24" Type="http://schemas.openxmlformats.org/officeDocument/2006/relationships/printerSettings" Target="../printerSettings/printerSettings5.bin"/><Relationship Id="rId5" Type="http://schemas.openxmlformats.org/officeDocument/2006/relationships/hyperlink" Target="mailto:arianaquillupangui@gmail.com" TargetMode="External"/><Relationship Id="rId15" Type="http://schemas.openxmlformats.org/officeDocument/2006/relationships/hyperlink" Target="mailto:caritoparedes20@gmail.com" TargetMode="External"/><Relationship Id="rId23" Type="http://schemas.openxmlformats.org/officeDocument/2006/relationships/hyperlink" Target="mailto:cecy7798@gmail.com" TargetMode="External"/><Relationship Id="rId10" Type="http://schemas.openxmlformats.org/officeDocument/2006/relationships/hyperlink" Target="mailto:rosadointriago23@gmail.com" TargetMode="External"/><Relationship Id="rId19" Type="http://schemas.openxmlformats.org/officeDocument/2006/relationships/hyperlink" Target="mailto:calixtostalin23@hotmial.com" TargetMode="External"/><Relationship Id="rId4" Type="http://schemas.openxmlformats.org/officeDocument/2006/relationships/hyperlink" Target="mailto:wendy_gama94@hotmail.es" TargetMode="External"/><Relationship Id="rId9" Type="http://schemas.openxmlformats.org/officeDocument/2006/relationships/hyperlink" Target="mailto:liga1045@hotmail.com" TargetMode="External"/><Relationship Id="rId14" Type="http://schemas.openxmlformats.org/officeDocument/2006/relationships/hyperlink" Target="mailto:fabiola-1359@hotmail.com" TargetMode="External"/><Relationship Id="rId22" Type="http://schemas.openxmlformats.org/officeDocument/2006/relationships/hyperlink" Target="mailto:jorgeluisacanne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W365"/>
  <sheetViews>
    <sheetView tabSelected="1" topLeftCell="J3" zoomScale="70" zoomScaleNormal="70" workbookViewId="0">
      <selection activeCell="T11" sqref="T11"/>
    </sheetView>
  </sheetViews>
  <sheetFormatPr baseColWidth="10" defaultRowHeight="19.5" x14ac:dyDescent="0.3"/>
  <cols>
    <col min="1" max="1" width="8.140625" customWidth="1"/>
    <col min="2" max="2" width="59.42578125" style="50" bestFit="1" customWidth="1"/>
    <col min="3" max="3" width="21.7109375" style="29" customWidth="1"/>
    <col min="4" max="4" width="18" style="29" customWidth="1"/>
    <col min="5" max="5" width="11.42578125" style="29" customWidth="1"/>
    <col min="6" max="6" width="15.5703125" style="29" customWidth="1"/>
    <col min="7" max="7" width="21" style="29" customWidth="1"/>
    <col min="8" max="8" width="18.5703125" style="50" customWidth="1"/>
    <col min="9" max="9" width="18.5703125" style="29" customWidth="1"/>
    <col min="10" max="10" width="9.5703125" style="29" customWidth="1"/>
    <col min="11" max="11" width="17.140625" style="29" customWidth="1"/>
    <col min="12" max="12" width="17.42578125" style="29" customWidth="1"/>
    <col min="13" max="13" width="32.42578125" style="46" customWidth="1"/>
    <col min="14" max="14" width="27.5703125" style="29" customWidth="1"/>
    <col min="15" max="15" width="27.7109375" style="29" customWidth="1"/>
    <col min="16" max="16" width="28" style="29" customWidth="1"/>
    <col min="17" max="17" width="11.42578125" style="29" customWidth="1"/>
    <col min="18" max="18" width="24.28515625" style="50" customWidth="1"/>
    <col min="19" max="19" width="13" style="50" customWidth="1"/>
    <col min="20" max="20" width="13" style="53" customWidth="1"/>
    <col min="21" max="21" width="11.42578125" style="50" customWidth="1"/>
    <col min="22" max="22" width="22.85546875" customWidth="1"/>
    <col min="23" max="24" width="11.42578125" customWidth="1"/>
  </cols>
  <sheetData>
    <row r="1" spans="1:23" ht="16.5" x14ac:dyDescent="0.3">
      <c r="A1" s="1"/>
      <c r="B1" s="2"/>
      <c r="C1" s="3"/>
      <c r="D1" s="3"/>
      <c r="E1" s="3"/>
      <c r="F1" s="4"/>
      <c r="G1" s="5"/>
      <c r="H1" s="3"/>
      <c r="I1" s="3"/>
      <c r="J1" s="3"/>
      <c r="K1" s="3"/>
      <c r="L1" s="3"/>
      <c r="M1" s="4"/>
      <c r="N1" s="23"/>
      <c r="O1" s="24"/>
      <c r="P1" s="24"/>
      <c r="Q1"/>
      <c r="R1"/>
      <c r="S1"/>
      <c r="T1"/>
      <c r="U1"/>
    </row>
    <row r="2" spans="1:23" ht="15.75" x14ac:dyDescent="0.25">
      <c r="A2" s="98" t="s">
        <v>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25"/>
      <c r="O2" s="24"/>
      <c r="P2" s="24"/>
      <c r="Q2"/>
      <c r="R2"/>
      <c r="S2"/>
      <c r="T2"/>
      <c r="U2"/>
    </row>
    <row r="3" spans="1:23" ht="15.75" x14ac:dyDescent="0.25">
      <c r="A3" s="58" t="s">
        <v>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25"/>
      <c r="O3" s="24"/>
      <c r="P3" s="24"/>
      <c r="Q3"/>
      <c r="R3"/>
      <c r="S3"/>
      <c r="T3"/>
      <c r="U3"/>
    </row>
    <row r="4" spans="1:23" ht="15.75" x14ac:dyDescent="0.25">
      <c r="A4" s="59"/>
      <c r="B4" s="59"/>
      <c r="C4" s="59"/>
      <c r="D4" s="60"/>
      <c r="E4" s="59"/>
      <c r="F4" s="61"/>
      <c r="G4" s="61"/>
      <c r="H4" s="62"/>
      <c r="I4" s="62"/>
      <c r="J4" s="59"/>
      <c r="K4" s="59"/>
      <c r="L4" s="59"/>
      <c r="M4" s="61"/>
      <c r="N4" s="25"/>
      <c r="O4" s="24"/>
      <c r="P4" s="24"/>
      <c r="Q4"/>
      <c r="R4"/>
      <c r="S4"/>
      <c r="T4"/>
      <c r="U4"/>
    </row>
    <row r="5" spans="1:23" ht="15.75" x14ac:dyDescent="0.25">
      <c r="A5" s="59"/>
      <c r="B5" s="59"/>
      <c r="C5" s="59"/>
      <c r="D5" s="59"/>
      <c r="E5" s="60"/>
      <c r="F5" s="61"/>
      <c r="G5" s="61"/>
      <c r="H5" s="62"/>
      <c r="I5" s="62"/>
      <c r="J5" s="59"/>
      <c r="K5" s="59"/>
      <c r="L5" s="59"/>
      <c r="M5" s="61"/>
      <c r="N5" s="25"/>
      <c r="O5" s="24"/>
      <c r="P5" s="24"/>
      <c r="Q5"/>
      <c r="R5"/>
      <c r="S5"/>
      <c r="T5"/>
      <c r="U5"/>
    </row>
    <row r="6" spans="1:23" ht="15.75" x14ac:dyDescent="0.25">
      <c r="A6" s="63" t="s">
        <v>2</v>
      </c>
      <c r="B6" s="63"/>
      <c r="C6" s="59" t="s">
        <v>162</v>
      </c>
      <c r="D6" s="59"/>
      <c r="E6" s="59"/>
      <c r="F6" s="62"/>
      <c r="G6" s="61"/>
      <c r="H6" s="62"/>
      <c r="I6" s="62"/>
      <c r="J6" s="59"/>
      <c r="K6" s="59"/>
      <c r="L6" s="59"/>
      <c r="M6" s="61"/>
      <c r="N6" s="25"/>
      <c r="O6" s="24"/>
      <c r="P6" s="24"/>
      <c r="Q6"/>
      <c r="R6"/>
      <c r="S6"/>
      <c r="T6"/>
      <c r="U6"/>
    </row>
    <row r="7" spans="1:23" ht="15.75" x14ac:dyDescent="0.25">
      <c r="A7" s="63" t="s">
        <v>153</v>
      </c>
      <c r="B7" s="63"/>
      <c r="C7" s="59" t="s">
        <v>163</v>
      </c>
      <c r="D7" s="59"/>
      <c r="E7" s="59"/>
      <c r="F7" s="62"/>
      <c r="G7" s="61"/>
      <c r="H7" s="62"/>
      <c r="I7" s="62"/>
      <c r="J7" s="59"/>
      <c r="K7" s="59"/>
      <c r="L7" s="59"/>
      <c r="M7" s="61"/>
      <c r="N7" s="25"/>
      <c r="O7" s="24"/>
      <c r="P7" s="24"/>
      <c r="Q7"/>
      <c r="R7"/>
      <c r="S7"/>
      <c r="T7"/>
      <c r="U7"/>
    </row>
    <row r="8" spans="1:23" ht="15.75" x14ac:dyDescent="0.25">
      <c r="A8" s="63" t="s">
        <v>3</v>
      </c>
      <c r="B8" s="63"/>
      <c r="C8" s="59" t="s">
        <v>4</v>
      </c>
      <c r="D8" s="59"/>
      <c r="E8" s="59"/>
      <c r="F8" s="61"/>
      <c r="G8" s="61"/>
      <c r="H8" s="62"/>
      <c r="I8" s="62"/>
      <c r="J8" s="59"/>
      <c r="K8" s="59"/>
      <c r="L8" s="59"/>
      <c r="M8" s="61"/>
      <c r="N8" s="25"/>
      <c r="O8" s="24"/>
      <c r="P8" s="24"/>
      <c r="Q8"/>
      <c r="R8"/>
      <c r="S8"/>
      <c r="T8"/>
      <c r="U8"/>
    </row>
    <row r="9" spans="1:23" ht="16.5" thickBot="1" x14ac:dyDescent="0.3">
      <c r="A9" s="63" t="s">
        <v>5</v>
      </c>
      <c r="B9" s="63"/>
      <c r="C9" s="59"/>
      <c r="D9" s="59"/>
      <c r="E9" s="59"/>
      <c r="F9" s="64"/>
      <c r="G9" s="64"/>
      <c r="H9" s="65"/>
      <c r="I9" s="65"/>
      <c r="J9" s="66"/>
      <c r="K9" s="67"/>
      <c r="L9" s="66"/>
      <c r="M9" s="64"/>
      <c r="N9" s="25"/>
      <c r="O9" s="24"/>
      <c r="P9" s="24"/>
      <c r="Q9"/>
      <c r="R9"/>
      <c r="S9"/>
      <c r="T9"/>
      <c r="U9"/>
    </row>
    <row r="10" spans="1:23" ht="57.75" customHeight="1" thickBot="1" x14ac:dyDescent="0.3">
      <c r="A10" s="79" t="s">
        <v>7</v>
      </c>
      <c r="B10" s="14" t="s">
        <v>8</v>
      </c>
      <c r="C10" s="14" t="s">
        <v>9</v>
      </c>
      <c r="D10" s="14" t="s">
        <v>10</v>
      </c>
      <c r="E10" s="14" t="s">
        <v>11</v>
      </c>
      <c r="F10" s="14" t="s">
        <v>12</v>
      </c>
      <c r="G10" s="15" t="s">
        <v>13</v>
      </c>
      <c r="H10" s="99" t="s">
        <v>14</v>
      </c>
      <c r="I10" s="100"/>
      <c r="J10" s="86" t="s">
        <v>15</v>
      </c>
      <c r="K10" s="87" t="s">
        <v>16</v>
      </c>
      <c r="L10" s="16" t="s">
        <v>17</v>
      </c>
      <c r="M10" s="17" t="s">
        <v>18</v>
      </c>
      <c r="N10" s="88" t="s">
        <v>19</v>
      </c>
      <c r="O10" s="16" t="s">
        <v>20</v>
      </c>
      <c r="P10" s="26" t="s">
        <v>21</v>
      </c>
      <c r="Q10" s="89" t="s">
        <v>22</v>
      </c>
      <c r="R10" s="90" t="s">
        <v>23</v>
      </c>
      <c r="S10" s="90" t="s">
        <v>159</v>
      </c>
      <c r="T10" s="91" t="s">
        <v>160</v>
      </c>
      <c r="U10" s="89" t="s">
        <v>38</v>
      </c>
    </row>
    <row r="11" spans="1:23" ht="39" x14ac:dyDescent="0.25">
      <c r="A11" s="38">
        <v>1</v>
      </c>
      <c r="B11" s="18" t="s">
        <v>185</v>
      </c>
      <c r="C11" s="19" t="s">
        <v>186</v>
      </c>
      <c r="D11" s="20">
        <v>37819</v>
      </c>
      <c r="E11" s="35">
        <f t="shared" ref="E11:E33" ca="1" si="0">YEAR(TODAY())-YEAR(D11)</f>
        <v>23</v>
      </c>
      <c r="F11" s="20">
        <v>46213</v>
      </c>
      <c r="G11" s="74" t="s">
        <v>187</v>
      </c>
      <c r="H11" s="19" t="s">
        <v>188</v>
      </c>
      <c r="I11" s="19"/>
      <c r="J11" s="27" t="s">
        <v>26</v>
      </c>
      <c r="K11" s="55" t="s">
        <v>182</v>
      </c>
      <c r="L11" s="56" t="s">
        <v>189</v>
      </c>
      <c r="M11" s="30" t="s">
        <v>190</v>
      </c>
      <c r="N11" s="22" t="s">
        <v>161</v>
      </c>
      <c r="O11" s="39" t="s">
        <v>24</v>
      </c>
      <c r="P11" s="80" t="s">
        <v>191</v>
      </c>
      <c r="Q11" s="81">
        <v>9304</v>
      </c>
      <c r="R11" s="82">
        <v>149423283</v>
      </c>
      <c r="S11" s="83">
        <v>150</v>
      </c>
      <c r="T11" s="84">
        <v>150</v>
      </c>
      <c r="U11" s="85">
        <f t="shared" ref="U11:U33" si="1">S11-T11</f>
        <v>0</v>
      </c>
      <c r="V11" s="73" t="s">
        <v>172</v>
      </c>
      <c r="W11" s="70"/>
    </row>
    <row r="12" spans="1:23" ht="58.5" x14ac:dyDescent="0.25">
      <c r="A12" s="38">
        <v>2</v>
      </c>
      <c r="B12" s="18" t="s">
        <v>219</v>
      </c>
      <c r="C12" s="19" t="s">
        <v>220</v>
      </c>
      <c r="D12" s="20">
        <v>36882</v>
      </c>
      <c r="E12" s="35">
        <f t="shared" ca="1" si="0"/>
        <v>26</v>
      </c>
      <c r="F12" s="20">
        <v>46213</v>
      </c>
      <c r="G12" s="18" t="s">
        <v>214</v>
      </c>
      <c r="H12" s="19" t="s">
        <v>221</v>
      </c>
      <c r="I12" s="19"/>
      <c r="J12" s="27" t="s">
        <v>26</v>
      </c>
      <c r="K12" s="55" t="s">
        <v>182</v>
      </c>
      <c r="L12" s="56" t="s">
        <v>222</v>
      </c>
      <c r="M12" s="30" t="s">
        <v>223</v>
      </c>
      <c r="N12" s="22" t="s">
        <v>217</v>
      </c>
      <c r="O12" s="28" t="s">
        <v>24</v>
      </c>
      <c r="P12" s="80" t="s">
        <v>171</v>
      </c>
      <c r="Q12" s="52">
        <v>9305</v>
      </c>
      <c r="R12" s="72">
        <v>34912780</v>
      </c>
      <c r="S12" s="83">
        <v>150</v>
      </c>
      <c r="T12" s="84">
        <v>150</v>
      </c>
      <c r="U12" s="85">
        <f t="shared" si="1"/>
        <v>0</v>
      </c>
      <c r="V12" s="75" t="s">
        <v>172</v>
      </c>
      <c r="W12" s="70"/>
    </row>
    <row r="13" spans="1:23" ht="78" x14ac:dyDescent="0.25">
      <c r="A13" s="38">
        <v>3</v>
      </c>
      <c r="B13" s="18" t="s">
        <v>212</v>
      </c>
      <c r="C13" s="19" t="s">
        <v>213</v>
      </c>
      <c r="D13" s="20">
        <v>30441</v>
      </c>
      <c r="E13" s="35">
        <f t="shared" ca="1" si="0"/>
        <v>43</v>
      </c>
      <c r="F13" s="20">
        <v>46213</v>
      </c>
      <c r="G13" s="18" t="s">
        <v>214</v>
      </c>
      <c r="H13" s="19" t="s">
        <v>215</v>
      </c>
      <c r="I13" s="19"/>
      <c r="J13" s="27" t="s">
        <v>26</v>
      </c>
      <c r="K13" s="55" t="s">
        <v>182</v>
      </c>
      <c r="L13" s="56" t="s">
        <v>222</v>
      </c>
      <c r="M13" s="71" t="s">
        <v>216</v>
      </c>
      <c r="N13" s="22" t="s">
        <v>217</v>
      </c>
      <c r="O13" s="27" t="s">
        <v>24</v>
      </c>
      <c r="P13" s="80" t="s">
        <v>218</v>
      </c>
      <c r="Q13" s="52"/>
      <c r="R13" s="72"/>
      <c r="S13" s="83">
        <v>150</v>
      </c>
      <c r="T13" s="84">
        <v>0</v>
      </c>
      <c r="U13" s="85">
        <f t="shared" si="1"/>
        <v>150</v>
      </c>
      <c r="V13" s="75" t="s">
        <v>172</v>
      </c>
      <c r="W13" s="70"/>
    </row>
    <row r="14" spans="1:23" ht="39" x14ac:dyDescent="0.25">
      <c r="A14" s="38">
        <v>4</v>
      </c>
      <c r="B14" s="18" t="s">
        <v>228</v>
      </c>
      <c r="C14" s="78" t="s">
        <v>229</v>
      </c>
      <c r="D14" s="20">
        <v>39629</v>
      </c>
      <c r="E14" s="35">
        <f ca="1">YEAR(TODAY())-YEAR(D14)</f>
        <v>18</v>
      </c>
      <c r="F14" s="20">
        <v>46212</v>
      </c>
      <c r="G14" s="18" t="s">
        <v>25</v>
      </c>
      <c r="H14" s="19" t="s">
        <v>230</v>
      </c>
      <c r="I14" s="19"/>
      <c r="J14" s="27" t="s">
        <v>26</v>
      </c>
      <c r="K14" s="55" t="s">
        <v>168</v>
      </c>
      <c r="L14" s="56" t="s">
        <v>282</v>
      </c>
      <c r="M14" s="71" t="s">
        <v>231</v>
      </c>
      <c r="N14" s="22" t="s">
        <v>161</v>
      </c>
      <c r="O14" s="27" t="s">
        <v>24</v>
      </c>
      <c r="P14" s="57" t="s">
        <v>191</v>
      </c>
      <c r="Q14" s="52">
        <v>9290</v>
      </c>
      <c r="R14" s="72">
        <v>22591944</v>
      </c>
      <c r="S14" s="83">
        <v>150</v>
      </c>
      <c r="T14" s="84">
        <v>150</v>
      </c>
      <c r="U14" s="85">
        <f t="shared" si="1"/>
        <v>0</v>
      </c>
      <c r="V14" s="92"/>
      <c r="W14" s="70"/>
    </row>
    <row r="15" spans="1:23" ht="97.5" x14ac:dyDescent="0.25">
      <c r="A15" s="38">
        <v>5</v>
      </c>
      <c r="B15" s="18" t="s">
        <v>285</v>
      </c>
      <c r="C15" s="97" t="s">
        <v>286</v>
      </c>
      <c r="D15" s="20">
        <v>32432</v>
      </c>
      <c r="E15" s="35">
        <f t="shared" ca="1" si="0"/>
        <v>38</v>
      </c>
      <c r="F15" s="20">
        <v>46213</v>
      </c>
      <c r="G15" s="18" t="s">
        <v>36</v>
      </c>
      <c r="H15" s="19" t="s">
        <v>281</v>
      </c>
      <c r="I15" s="19"/>
      <c r="J15" s="27" t="s">
        <v>26</v>
      </c>
      <c r="K15" s="55" t="s">
        <v>282</v>
      </c>
      <c r="L15" s="56" t="s">
        <v>168</v>
      </c>
      <c r="M15" s="30" t="s">
        <v>283</v>
      </c>
      <c r="N15" s="22" t="s">
        <v>161</v>
      </c>
      <c r="O15" s="28" t="s">
        <v>24</v>
      </c>
      <c r="P15" s="80" t="s">
        <v>276</v>
      </c>
      <c r="Q15" s="52">
        <v>9309</v>
      </c>
      <c r="R15" s="72">
        <v>19998501</v>
      </c>
      <c r="S15" s="83">
        <v>150</v>
      </c>
      <c r="T15" s="84">
        <v>100</v>
      </c>
      <c r="U15" s="85">
        <f t="shared" si="1"/>
        <v>50</v>
      </c>
      <c r="V15" s="93"/>
      <c r="W15" s="70" t="s">
        <v>284</v>
      </c>
    </row>
    <row r="16" spans="1:23" ht="58.5" x14ac:dyDescent="0.25">
      <c r="A16" s="38">
        <v>6</v>
      </c>
      <c r="B16" s="18" t="s">
        <v>257</v>
      </c>
      <c r="C16" s="19" t="s">
        <v>258</v>
      </c>
      <c r="D16" s="20">
        <v>36955</v>
      </c>
      <c r="E16" s="35">
        <f t="shared" ca="1" si="0"/>
        <v>25</v>
      </c>
      <c r="F16" s="20">
        <v>46212</v>
      </c>
      <c r="G16" s="18" t="s">
        <v>279</v>
      </c>
      <c r="H16" s="19" t="s">
        <v>259</v>
      </c>
      <c r="I16" s="19"/>
      <c r="J16" s="27" t="s">
        <v>26</v>
      </c>
      <c r="K16" s="55" t="s">
        <v>182</v>
      </c>
      <c r="L16" s="56" t="s">
        <v>169</v>
      </c>
      <c r="M16" s="30" t="s">
        <v>260</v>
      </c>
      <c r="N16" s="22" t="s">
        <v>161</v>
      </c>
      <c r="O16" s="28" t="s">
        <v>24</v>
      </c>
      <c r="P16" s="57" t="s">
        <v>171</v>
      </c>
      <c r="Q16" s="52">
        <v>9294</v>
      </c>
      <c r="R16" s="72">
        <v>43001746</v>
      </c>
      <c r="S16" s="83">
        <v>100</v>
      </c>
      <c r="T16" s="84">
        <v>100</v>
      </c>
      <c r="U16" s="85">
        <f t="shared" si="1"/>
        <v>0</v>
      </c>
      <c r="V16" s="76" t="s">
        <v>176</v>
      </c>
      <c r="W16" s="70"/>
    </row>
    <row r="17" spans="1:23" ht="58.5" x14ac:dyDescent="0.25">
      <c r="A17" s="38">
        <v>7</v>
      </c>
      <c r="B17" s="18" t="s">
        <v>250</v>
      </c>
      <c r="C17" s="19" t="s">
        <v>251</v>
      </c>
      <c r="D17" s="20">
        <v>37426</v>
      </c>
      <c r="E17" s="35">
        <f t="shared" ca="1" si="0"/>
        <v>24</v>
      </c>
      <c r="F17" s="20">
        <v>46213</v>
      </c>
      <c r="G17" s="18" t="s">
        <v>199</v>
      </c>
      <c r="H17" s="19" t="s">
        <v>252</v>
      </c>
      <c r="I17" s="19"/>
      <c r="J17" s="27" t="s">
        <v>167</v>
      </c>
      <c r="K17" s="55" t="s">
        <v>182</v>
      </c>
      <c r="L17" s="56" t="s">
        <v>189</v>
      </c>
      <c r="M17" s="30" t="s">
        <v>253</v>
      </c>
      <c r="N17" s="22" t="s">
        <v>161</v>
      </c>
      <c r="O17" s="28" t="s">
        <v>24</v>
      </c>
      <c r="P17" s="57" t="s">
        <v>171</v>
      </c>
      <c r="Q17" s="52">
        <v>9308</v>
      </c>
      <c r="R17" s="72">
        <v>18688369</v>
      </c>
      <c r="S17" s="83">
        <v>120</v>
      </c>
      <c r="T17" s="84">
        <v>70</v>
      </c>
      <c r="U17" s="85">
        <f t="shared" si="1"/>
        <v>50</v>
      </c>
      <c r="V17" s="76" t="s">
        <v>176</v>
      </c>
      <c r="W17" s="70"/>
    </row>
    <row r="18" spans="1:23" ht="97.5" x14ac:dyDescent="0.25">
      <c r="A18" s="38">
        <v>8</v>
      </c>
      <c r="B18" s="18" t="s">
        <v>224</v>
      </c>
      <c r="C18" s="19" t="s">
        <v>225</v>
      </c>
      <c r="D18" s="20">
        <v>27395</v>
      </c>
      <c r="E18" s="35">
        <f t="shared" ca="1" si="0"/>
        <v>51</v>
      </c>
      <c r="F18" s="20">
        <v>46212</v>
      </c>
      <c r="G18" s="18" t="s">
        <v>226</v>
      </c>
      <c r="H18" s="19" t="s">
        <v>227</v>
      </c>
      <c r="I18" s="19"/>
      <c r="J18" s="27" t="s">
        <v>26</v>
      </c>
      <c r="K18" s="55" t="s">
        <v>182</v>
      </c>
      <c r="L18" s="56" t="s">
        <v>282</v>
      </c>
      <c r="M18" s="30" t="s">
        <v>275</v>
      </c>
      <c r="N18" s="22" t="s">
        <v>161</v>
      </c>
      <c r="O18" s="28" t="s">
        <v>24</v>
      </c>
      <c r="P18" s="80" t="s">
        <v>276</v>
      </c>
      <c r="Q18" s="52">
        <v>9296</v>
      </c>
      <c r="R18" s="72" t="s">
        <v>273</v>
      </c>
      <c r="S18" s="83">
        <v>100</v>
      </c>
      <c r="T18" s="84">
        <v>0</v>
      </c>
      <c r="U18" s="85">
        <f t="shared" si="1"/>
        <v>100</v>
      </c>
      <c r="V18" s="77" t="s">
        <v>277</v>
      </c>
      <c r="W18" s="70"/>
    </row>
    <row r="19" spans="1:23" ht="78" x14ac:dyDescent="0.25">
      <c r="A19" s="38">
        <v>9</v>
      </c>
      <c r="B19" s="94" t="s">
        <v>210</v>
      </c>
      <c r="C19" s="19" t="s">
        <v>202</v>
      </c>
      <c r="D19" s="20">
        <v>32781</v>
      </c>
      <c r="E19" s="35">
        <f t="shared" ca="1" si="0"/>
        <v>37</v>
      </c>
      <c r="F19" s="20">
        <v>46212</v>
      </c>
      <c r="G19" s="18" t="s">
        <v>203</v>
      </c>
      <c r="H19" s="19" t="s">
        <v>204</v>
      </c>
      <c r="I19" s="19" t="s">
        <v>205</v>
      </c>
      <c r="J19" s="27" t="s">
        <v>26</v>
      </c>
      <c r="K19" s="55" t="s">
        <v>182</v>
      </c>
      <c r="L19" s="56" t="s">
        <v>169</v>
      </c>
      <c r="M19" s="30" t="s">
        <v>206</v>
      </c>
      <c r="N19" s="22" t="s">
        <v>207</v>
      </c>
      <c r="O19" s="28" t="s">
        <v>24</v>
      </c>
      <c r="P19" s="57" t="s">
        <v>208</v>
      </c>
      <c r="Q19" s="52">
        <v>9300</v>
      </c>
      <c r="R19" s="72" t="s">
        <v>273</v>
      </c>
      <c r="S19" s="83">
        <v>100</v>
      </c>
      <c r="T19" s="84">
        <v>0</v>
      </c>
      <c r="U19" s="85">
        <f t="shared" si="1"/>
        <v>100</v>
      </c>
      <c r="V19" s="77" t="s">
        <v>209</v>
      </c>
      <c r="W19" s="70"/>
    </row>
    <row r="20" spans="1:23" ht="58.5" x14ac:dyDescent="0.25">
      <c r="A20" s="38">
        <v>10</v>
      </c>
      <c r="B20" s="18" t="s">
        <v>164</v>
      </c>
      <c r="C20" s="19" t="s">
        <v>165</v>
      </c>
      <c r="D20" s="20">
        <v>39149</v>
      </c>
      <c r="E20" s="35">
        <f t="shared" ca="1" si="0"/>
        <v>19</v>
      </c>
      <c r="F20" s="20">
        <v>46213</v>
      </c>
      <c r="G20" s="74" t="s">
        <v>87</v>
      </c>
      <c r="H20" s="19" t="s">
        <v>166</v>
      </c>
      <c r="I20" s="19"/>
      <c r="J20" s="27" t="s">
        <v>167</v>
      </c>
      <c r="K20" s="55" t="s">
        <v>168</v>
      </c>
      <c r="L20" s="56" t="s">
        <v>169</v>
      </c>
      <c r="M20" s="71" t="s">
        <v>170</v>
      </c>
      <c r="N20" s="22" t="s">
        <v>161</v>
      </c>
      <c r="O20" s="27" t="s">
        <v>24</v>
      </c>
      <c r="P20" s="80" t="s">
        <v>171</v>
      </c>
      <c r="Q20" s="52">
        <v>9302</v>
      </c>
      <c r="R20" s="72" t="s">
        <v>211</v>
      </c>
      <c r="S20" s="83">
        <v>150</v>
      </c>
      <c r="T20" s="84">
        <v>150</v>
      </c>
      <c r="U20" s="85">
        <f t="shared" si="1"/>
        <v>0</v>
      </c>
      <c r="V20" s="73" t="s">
        <v>172</v>
      </c>
      <c r="W20" s="70"/>
    </row>
    <row r="21" spans="1:23" ht="58.5" x14ac:dyDescent="0.25">
      <c r="A21" s="38">
        <v>11</v>
      </c>
      <c r="B21" s="18" t="s">
        <v>197</v>
      </c>
      <c r="C21" s="19" t="s">
        <v>198</v>
      </c>
      <c r="D21" s="20">
        <v>39079</v>
      </c>
      <c r="E21" s="35">
        <f t="shared" ca="1" si="0"/>
        <v>20</v>
      </c>
      <c r="F21" s="20">
        <v>46213</v>
      </c>
      <c r="G21" s="74" t="s">
        <v>199</v>
      </c>
      <c r="H21" s="19" t="s">
        <v>200</v>
      </c>
      <c r="I21" s="19"/>
      <c r="J21" s="27" t="s">
        <v>26</v>
      </c>
      <c r="K21" s="55" t="s">
        <v>182</v>
      </c>
      <c r="L21" s="56" t="s">
        <v>168</v>
      </c>
      <c r="M21" s="71" t="s">
        <v>201</v>
      </c>
      <c r="N21" s="22" t="s">
        <v>161</v>
      </c>
      <c r="O21" s="27" t="s">
        <v>24</v>
      </c>
      <c r="P21" s="57" t="s">
        <v>171</v>
      </c>
      <c r="Q21" s="52">
        <v>9303</v>
      </c>
      <c r="R21" s="72">
        <v>43705820</v>
      </c>
      <c r="S21" s="83">
        <v>150</v>
      </c>
      <c r="T21" s="84">
        <v>150</v>
      </c>
      <c r="U21" s="85">
        <f t="shared" si="1"/>
        <v>0</v>
      </c>
      <c r="V21" s="73" t="s">
        <v>172</v>
      </c>
      <c r="W21" s="70"/>
    </row>
    <row r="22" spans="1:23" x14ac:dyDescent="0.25">
      <c r="A22" s="38">
        <v>12</v>
      </c>
      <c r="B22" s="18" t="s">
        <v>254</v>
      </c>
      <c r="C22" s="19" t="s">
        <v>255</v>
      </c>
      <c r="D22" s="20">
        <v>34025</v>
      </c>
      <c r="E22" s="35">
        <f t="shared" ca="1" si="0"/>
        <v>33</v>
      </c>
      <c r="F22" s="20">
        <v>46212</v>
      </c>
      <c r="G22" s="74" t="s">
        <v>280</v>
      </c>
      <c r="H22" s="19" t="s">
        <v>252</v>
      </c>
      <c r="I22" s="19"/>
      <c r="J22" s="27" t="s">
        <v>26</v>
      </c>
      <c r="K22" s="55" t="s">
        <v>182</v>
      </c>
      <c r="L22" s="56" t="s">
        <v>297</v>
      </c>
      <c r="M22" s="71" t="s">
        <v>256</v>
      </c>
      <c r="N22" s="22" t="s">
        <v>161</v>
      </c>
      <c r="O22" s="27" t="s">
        <v>59</v>
      </c>
      <c r="P22" s="80"/>
      <c r="Q22" s="52">
        <v>9293</v>
      </c>
      <c r="R22" s="72">
        <v>168055033</v>
      </c>
      <c r="S22" s="83">
        <v>135</v>
      </c>
      <c r="T22" s="84">
        <v>135</v>
      </c>
      <c r="U22" s="85">
        <f t="shared" si="1"/>
        <v>0</v>
      </c>
      <c r="V22" s="76" t="s">
        <v>176</v>
      </c>
      <c r="W22" s="70"/>
    </row>
    <row r="23" spans="1:23" ht="97.5" x14ac:dyDescent="0.25">
      <c r="A23" s="38">
        <v>13</v>
      </c>
      <c r="B23" s="95" t="s">
        <v>173</v>
      </c>
      <c r="C23" s="19" t="s">
        <v>174</v>
      </c>
      <c r="D23" s="20">
        <v>29728</v>
      </c>
      <c r="E23" s="35">
        <f t="shared" ca="1" si="0"/>
        <v>45</v>
      </c>
      <c r="F23" s="20">
        <v>46213</v>
      </c>
      <c r="G23" s="74" t="s">
        <v>87</v>
      </c>
      <c r="H23" s="19" t="s">
        <v>295</v>
      </c>
      <c r="I23" s="19"/>
      <c r="J23" s="27" t="s">
        <v>167</v>
      </c>
      <c r="K23" s="55" t="s">
        <v>182</v>
      </c>
      <c r="L23" s="56" t="s">
        <v>168</v>
      </c>
      <c r="M23" s="71" t="s">
        <v>175</v>
      </c>
      <c r="N23" s="22" t="s">
        <v>161</v>
      </c>
      <c r="O23" s="27" t="s">
        <v>24</v>
      </c>
      <c r="P23" s="80" t="s">
        <v>296</v>
      </c>
      <c r="Q23" s="52"/>
      <c r="R23" s="72">
        <v>124411257</v>
      </c>
      <c r="S23" s="83">
        <v>100</v>
      </c>
      <c r="T23" s="84">
        <v>100</v>
      </c>
      <c r="U23" s="85">
        <f t="shared" si="1"/>
        <v>0</v>
      </c>
      <c r="V23" s="76" t="s">
        <v>176</v>
      </c>
      <c r="W23" s="70"/>
    </row>
    <row r="24" spans="1:23" ht="39" x14ac:dyDescent="0.25">
      <c r="A24" s="38">
        <v>14</v>
      </c>
      <c r="B24" s="18" t="s">
        <v>245</v>
      </c>
      <c r="C24" s="19" t="s">
        <v>246</v>
      </c>
      <c r="D24" s="20">
        <v>37361</v>
      </c>
      <c r="E24" s="35">
        <f t="shared" ca="1" si="0"/>
        <v>24</v>
      </c>
      <c r="F24" s="20">
        <v>46212</v>
      </c>
      <c r="G24" s="18" t="s">
        <v>89</v>
      </c>
      <c r="H24" s="19" t="s">
        <v>247</v>
      </c>
      <c r="I24" s="19"/>
      <c r="J24" s="27" t="s">
        <v>26</v>
      </c>
      <c r="K24" s="55" t="s">
        <v>182</v>
      </c>
      <c r="L24" s="56" t="s">
        <v>222</v>
      </c>
      <c r="M24" s="30" t="s">
        <v>248</v>
      </c>
      <c r="N24" s="22" t="s">
        <v>207</v>
      </c>
      <c r="O24" s="28" t="s">
        <v>24</v>
      </c>
      <c r="P24" s="80" t="s">
        <v>249</v>
      </c>
      <c r="Q24" s="52">
        <v>9292</v>
      </c>
      <c r="R24" s="72">
        <v>154028081</v>
      </c>
      <c r="S24" s="83">
        <v>120</v>
      </c>
      <c r="T24" s="84">
        <v>120</v>
      </c>
      <c r="U24" s="85">
        <f t="shared" si="1"/>
        <v>0</v>
      </c>
      <c r="V24" s="76" t="s">
        <v>176</v>
      </c>
      <c r="W24" s="70"/>
    </row>
    <row r="25" spans="1:23" ht="39" x14ac:dyDescent="0.25">
      <c r="A25" s="38">
        <v>15</v>
      </c>
      <c r="B25" s="18" t="s">
        <v>265</v>
      </c>
      <c r="C25" s="78" t="s">
        <v>266</v>
      </c>
      <c r="D25" s="20">
        <v>38396</v>
      </c>
      <c r="E25" s="35">
        <f t="shared" ca="1" si="0"/>
        <v>21</v>
      </c>
      <c r="F25" s="20">
        <v>46212</v>
      </c>
      <c r="G25" s="18" t="s">
        <v>267</v>
      </c>
      <c r="H25" s="19" t="s">
        <v>268</v>
      </c>
      <c r="I25" s="19"/>
      <c r="J25" s="27" t="s">
        <v>26</v>
      </c>
      <c r="K25" s="55" t="s">
        <v>168</v>
      </c>
      <c r="L25" s="56" t="s">
        <v>297</v>
      </c>
      <c r="M25" s="71" t="s">
        <v>269</v>
      </c>
      <c r="N25" s="22" t="s">
        <v>161</v>
      </c>
      <c r="O25" s="27" t="s">
        <v>24</v>
      </c>
      <c r="P25" s="57" t="s">
        <v>249</v>
      </c>
      <c r="Q25" s="52">
        <v>9301</v>
      </c>
      <c r="R25" s="72">
        <v>16042076</v>
      </c>
      <c r="S25" s="83">
        <v>150</v>
      </c>
      <c r="T25" s="84">
        <v>100</v>
      </c>
      <c r="U25" s="85">
        <f t="shared" si="1"/>
        <v>50</v>
      </c>
      <c r="V25" s="76"/>
      <c r="W25" s="70"/>
    </row>
    <row r="26" spans="1:23" ht="78" x14ac:dyDescent="0.25">
      <c r="A26" s="38">
        <v>16</v>
      </c>
      <c r="B26" s="18" t="s">
        <v>236</v>
      </c>
      <c r="C26" s="19" t="s">
        <v>237</v>
      </c>
      <c r="D26" s="20">
        <v>23378</v>
      </c>
      <c r="E26" s="35">
        <f t="shared" ca="1" si="0"/>
        <v>62</v>
      </c>
      <c r="F26" s="20">
        <v>46212</v>
      </c>
      <c r="G26" s="18" t="s">
        <v>95</v>
      </c>
      <c r="H26" s="19" t="s">
        <v>238</v>
      </c>
      <c r="I26" s="19"/>
      <c r="J26" s="27" t="s">
        <v>26</v>
      </c>
      <c r="K26" s="55" t="s">
        <v>182</v>
      </c>
      <c r="L26" s="56" t="s">
        <v>189</v>
      </c>
      <c r="M26" s="30" t="s">
        <v>239</v>
      </c>
      <c r="N26" s="22" t="s">
        <v>161</v>
      </c>
      <c r="O26" s="28" t="s">
        <v>24</v>
      </c>
      <c r="P26" s="80" t="s">
        <v>240</v>
      </c>
      <c r="Q26" s="52">
        <v>9299</v>
      </c>
      <c r="R26" s="72">
        <v>20720917</v>
      </c>
      <c r="S26" s="83">
        <v>100</v>
      </c>
      <c r="T26" s="84">
        <v>100</v>
      </c>
      <c r="U26" s="85">
        <f t="shared" si="1"/>
        <v>0</v>
      </c>
      <c r="V26" s="77" t="s">
        <v>235</v>
      </c>
      <c r="W26" s="70"/>
    </row>
    <row r="27" spans="1:23" ht="78" x14ac:dyDescent="0.25">
      <c r="A27" s="38">
        <v>17</v>
      </c>
      <c r="B27" s="18" t="s">
        <v>241</v>
      </c>
      <c r="C27" s="19" t="s">
        <v>242</v>
      </c>
      <c r="D27" s="20">
        <v>25996</v>
      </c>
      <c r="E27" s="35">
        <f t="shared" ca="1" si="0"/>
        <v>55</v>
      </c>
      <c r="F27" s="20">
        <v>46212</v>
      </c>
      <c r="G27" s="18" t="s">
        <v>25</v>
      </c>
      <c r="H27" s="19" t="s">
        <v>243</v>
      </c>
      <c r="I27" s="19"/>
      <c r="J27" s="27" t="s">
        <v>26</v>
      </c>
      <c r="K27" s="55" t="s">
        <v>182</v>
      </c>
      <c r="L27" s="56" t="s">
        <v>282</v>
      </c>
      <c r="M27" s="30" t="s">
        <v>244</v>
      </c>
      <c r="N27" s="22" t="s">
        <v>161</v>
      </c>
      <c r="O27" s="28" t="s">
        <v>24</v>
      </c>
      <c r="P27" s="57" t="s">
        <v>240</v>
      </c>
      <c r="Q27" s="52">
        <v>9298</v>
      </c>
      <c r="R27" s="72">
        <v>20927629</v>
      </c>
      <c r="S27" s="83">
        <v>100</v>
      </c>
      <c r="T27" s="84">
        <v>100</v>
      </c>
      <c r="U27" s="85">
        <f t="shared" si="1"/>
        <v>0</v>
      </c>
      <c r="V27" s="77" t="s">
        <v>235</v>
      </c>
      <c r="W27" s="70"/>
    </row>
    <row r="28" spans="1:23" ht="58.5" x14ac:dyDescent="0.25">
      <c r="A28" s="38">
        <v>18</v>
      </c>
      <c r="B28" s="18" t="s">
        <v>192</v>
      </c>
      <c r="C28" s="19" t="s">
        <v>193</v>
      </c>
      <c r="D28" s="20">
        <v>36332</v>
      </c>
      <c r="E28" s="35">
        <f t="shared" ca="1" si="0"/>
        <v>27</v>
      </c>
      <c r="F28" s="20">
        <v>46213</v>
      </c>
      <c r="G28" s="18" t="s">
        <v>194</v>
      </c>
      <c r="H28" s="19" t="s">
        <v>195</v>
      </c>
      <c r="I28" s="19"/>
      <c r="J28" s="27" t="s">
        <v>287</v>
      </c>
      <c r="K28" s="55" t="s">
        <v>182</v>
      </c>
      <c r="L28" s="56" t="s">
        <v>189</v>
      </c>
      <c r="M28" s="71" t="s">
        <v>196</v>
      </c>
      <c r="N28" s="22" t="s">
        <v>161</v>
      </c>
      <c r="O28" s="27" t="s">
        <v>24</v>
      </c>
      <c r="P28" s="80" t="s">
        <v>171</v>
      </c>
      <c r="Q28" s="52">
        <v>9310</v>
      </c>
      <c r="R28" s="72">
        <v>25333116</v>
      </c>
      <c r="S28" s="83">
        <v>150</v>
      </c>
      <c r="T28" s="84">
        <v>150</v>
      </c>
      <c r="U28" s="85">
        <f t="shared" si="1"/>
        <v>0</v>
      </c>
      <c r="V28" s="73" t="s">
        <v>172</v>
      </c>
      <c r="W28" s="70"/>
    </row>
    <row r="29" spans="1:23" ht="58.5" x14ac:dyDescent="0.25">
      <c r="A29" s="38">
        <v>19</v>
      </c>
      <c r="B29" s="18" t="s">
        <v>232</v>
      </c>
      <c r="C29" s="19" t="s">
        <v>233</v>
      </c>
      <c r="D29" s="20">
        <v>35279</v>
      </c>
      <c r="E29" s="35">
        <f t="shared" ca="1" si="0"/>
        <v>30</v>
      </c>
      <c r="F29" s="20">
        <v>46212</v>
      </c>
      <c r="G29" s="18" t="s">
        <v>87</v>
      </c>
      <c r="H29" s="19" t="s">
        <v>274</v>
      </c>
      <c r="I29" s="19"/>
      <c r="J29" s="27" t="s">
        <v>167</v>
      </c>
      <c r="K29" s="55" t="s">
        <v>182</v>
      </c>
      <c r="L29" s="56" t="s">
        <v>222</v>
      </c>
      <c r="M29" s="30" t="s">
        <v>234</v>
      </c>
      <c r="N29" s="22" t="s">
        <v>161</v>
      </c>
      <c r="O29" s="28" t="s">
        <v>24</v>
      </c>
      <c r="P29" s="80" t="s">
        <v>171</v>
      </c>
      <c r="Q29" s="52">
        <v>9297</v>
      </c>
      <c r="R29" s="72">
        <v>21735159</v>
      </c>
      <c r="S29" s="83">
        <v>100</v>
      </c>
      <c r="T29" s="84">
        <v>50</v>
      </c>
      <c r="U29" s="85">
        <f t="shared" si="1"/>
        <v>50</v>
      </c>
      <c r="V29" s="77" t="s">
        <v>235</v>
      </c>
      <c r="W29" s="70"/>
    </row>
    <row r="30" spans="1:23" ht="58.5" x14ac:dyDescent="0.25">
      <c r="A30" s="38">
        <v>20</v>
      </c>
      <c r="B30" s="18" t="s">
        <v>288</v>
      </c>
      <c r="C30" s="19" t="s">
        <v>270</v>
      </c>
      <c r="D30" s="20">
        <v>39480</v>
      </c>
      <c r="E30" s="35">
        <f t="shared" ca="1" si="0"/>
        <v>18</v>
      </c>
      <c r="F30" s="20">
        <v>46213</v>
      </c>
      <c r="G30" s="74" t="s">
        <v>135</v>
      </c>
      <c r="H30" s="19" t="s">
        <v>271</v>
      </c>
      <c r="I30" s="19"/>
      <c r="J30" s="27" t="s">
        <v>26</v>
      </c>
      <c r="K30" s="55" t="s">
        <v>182</v>
      </c>
      <c r="L30" s="56" t="s">
        <v>169</v>
      </c>
      <c r="M30" s="71" t="s">
        <v>272</v>
      </c>
      <c r="N30" s="22" t="s">
        <v>161</v>
      </c>
      <c r="O30" s="27" t="s">
        <v>24</v>
      </c>
      <c r="P30" s="80" t="s">
        <v>171</v>
      </c>
      <c r="Q30" s="52">
        <v>9307</v>
      </c>
      <c r="R30" s="72">
        <v>46947333</v>
      </c>
      <c r="S30" s="83">
        <v>120</v>
      </c>
      <c r="T30" s="84">
        <v>120</v>
      </c>
      <c r="U30" s="85">
        <f t="shared" si="1"/>
        <v>0</v>
      </c>
      <c r="V30" s="93" t="s">
        <v>176</v>
      </c>
      <c r="W30" s="70"/>
    </row>
    <row r="31" spans="1:23" ht="58.5" x14ac:dyDescent="0.25">
      <c r="A31" s="38">
        <v>21</v>
      </c>
      <c r="B31" s="18" t="s">
        <v>261</v>
      </c>
      <c r="C31" s="78" t="s">
        <v>262</v>
      </c>
      <c r="D31" s="20">
        <v>37137</v>
      </c>
      <c r="E31" s="35">
        <f t="shared" ca="1" si="0"/>
        <v>25</v>
      </c>
      <c r="F31" s="20">
        <v>46212</v>
      </c>
      <c r="G31" s="18" t="s">
        <v>278</v>
      </c>
      <c r="H31" s="19" t="s">
        <v>263</v>
      </c>
      <c r="I31" s="19"/>
      <c r="J31" s="27" t="s">
        <v>26</v>
      </c>
      <c r="K31" s="55" t="s">
        <v>182</v>
      </c>
      <c r="L31" s="56" t="s">
        <v>282</v>
      </c>
      <c r="M31" s="71" t="s">
        <v>264</v>
      </c>
      <c r="N31" s="22" t="s">
        <v>161</v>
      </c>
      <c r="O31" s="27" t="s">
        <v>24</v>
      </c>
      <c r="P31" s="80" t="s">
        <v>171</v>
      </c>
      <c r="Q31" s="52">
        <v>9295</v>
      </c>
      <c r="R31" s="72">
        <v>145518951</v>
      </c>
      <c r="S31" s="83">
        <v>120</v>
      </c>
      <c r="T31" s="84">
        <v>120</v>
      </c>
      <c r="U31" s="85">
        <f t="shared" si="1"/>
        <v>0</v>
      </c>
      <c r="V31" s="76" t="s">
        <v>176</v>
      </c>
      <c r="W31" s="70"/>
    </row>
    <row r="32" spans="1:23" ht="97.5" x14ac:dyDescent="0.25">
      <c r="A32" s="38">
        <v>22</v>
      </c>
      <c r="B32" s="95" t="s">
        <v>289</v>
      </c>
      <c r="C32" s="78" t="s">
        <v>290</v>
      </c>
      <c r="D32" s="20">
        <v>27627</v>
      </c>
      <c r="E32" s="35">
        <f t="shared" ca="1" si="0"/>
        <v>51</v>
      </c>
      <c r="F32" s="20">
        <v>46213</v>
      </c>
      <c r="G32" s="18" t="s">
        <v>291</v>
      </c>
      <c r="H32" s="19" t="s">
        <v>292</v>
      </c>
      <c r="I32" s="19"/>
      <c r="J32" s="27" t="s">
        <v>26</v>
      </c>
      <c r="K32" s="55" t="s">
        <v>182</v>
      </c>
      <c r="L32" s="56" t="s">
        <v>297</v>
      </c>
      <c r="M32" s="71" t="s">
        <v>293</v>
      </c>
      <c r="N32" s="22" t="s">
        <v>161</v>
      </c>
      <c r="O32" s="27" t="s">
        <v>24</v>
      </c>
      <c r="P32" s="80" t="s">
        <v>276</v>
      </c>
      <c r="Q32" s="52"/>
      <c r="R32" s="72" t="s">
        <v>294</v>
      </c>
      <c r="S32" s="83">
        <v>150</v>
      </c>
      <c r="T32" s="84">
        <v>100</v>
      </c>
      <c r="U32" s="85">
        <f t="shared" si="1"/>
        <v>50</v>
      </c>
      <c r="V32" s="76"/>
      <c r="W32" s="70" t="s">
        <v>284</v>
      </c>
    </row>
    <row r="33" spans="1:23" ht="58.5" x14ac:dyDescent="0.25">
      <c r="A33" s="38">
        <v>23</v>
      </c>
      <c r="B33" s="18" t="s">
        <v>177</v>
      </c>
      <c r="C33" s="19" t="s">
        <v>178</v>
      </c>
      <c r="D33" s="20">
        <v>39624</v>
      </c>
      <c r="E33" s="35">
        <f t="shared" ca="1" si="0"/>
        <v>18</v>
      </c>
      <c r="F33" s="20">
        <v>46212</v>
      </c>
      <c r="G33" s="18" t="s">
        <v>179</v>
      </c>
      <c r="H33" s="19" t="s">
        <v>180</v>
      </c>
      <c r="I33" s="19" t="s">
        <v>181</v>
      </c>
      <c r="J33" s="27" t="s">
        <v>26</v>
      </c>
      <c r="K33" s="55" t="s">
        <v>182</v>
      </c>
      <c r="L33" s="56" t="s">
        <v>168</v>
      </c>
      <c r="M33" s="30" t="s">
        <v>183</v>
      </c>
      <c r="N33" s="22" t="s">
        <v>161</v>
      </c>
      <c r="O33" s="28" t="s">
        <v>24</v>
      </c>
      <c r="P33" s="57" t="s">
        <v>171</v>
      </c>
      <c r="Q33" s="52">
        <v>9291</v>
      </c>
      <c r="R33" s="72">
        <v>34057825</v>
      </c>
      <c r="S33" s="83">
        <v>150</v>
      </c>
      <c r="T33" s="84">
        <v>100</v>
      </c>
      <c r="U33" s="85">
        <f t="shared" si="1"/>
        <v>50</v>
      </c>
      <c r="V33" s="73" t="s">
        <v>184</v>
      </c>
      <c r="W33" s="70"/>
    </row>
    <row r="34" spans="1:23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 s="68"/>
      <c r="T34"/>
      <c r="U34"/>
    </row>
    <row r="35" spans="1:23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s="68"/>
      <c r="T35"/>
      <c r="U35"/>
    </row>
    <row r="36" spans="1:23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s="68"/>
      <c r="T36"/>
      <c r="U36"/>
    </row>
    <row r="37" spans="1:23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 s="68"/>
      <c r="T37"/>
      <c r="U37"/>
    </row>
    <row r="38" spans="1:23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 s="68"/>
      <c r="T38"/>
      <c r="U38"/>
    </row>
    <row r="39" spans="1:23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s="68"/>
      <c r="T39"/>
      <c r="U39"/>
    </row>
    <row r="40" spans="1:23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 s="68"/>
      <c r="T40"/>
      <c r="U40"/>
    </row>
    <row r="41" spans="1:23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 s="68"/>
      <c r="T41"/>
      <c r="U41"/>
    </row>
    <row r="42" spans="1:23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 s="68"/>
      <c r="T42"/>
      <c r="U42"/>
    </row>
    <row r="43" spans="1:23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68"/>
      <c r="T43"/>
      <c r="U43"/>
    </row>
    <row r="44" spans="1:23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s="68"/>
      <c r="T44"/>
      <c r="U44"/>
    </row>
    <row r="45" spans="1:23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 s="68"/>
      <c r="T45"/>
      <c r="U45"/>
    </row>
    <row r="46" spans="1:23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 s="68"/>
      <c r="T46"/>
      <c r="U46"/>
    </row>
    <row r="47" spans="1:23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s="68"/>
      <c r="T47"/>
      <c r="U47"/>
    </row>
    <row r="48" spans="1:23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s="68"/>
      <c r="T48"/>
      <c r="U48"/>
    </row>
    <row r="49" spans="2:2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s="68"/>
      <c r="T49"/>
      <c r="U49"/>
    </row>
    <row r="50" spans="2:2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s="68"/>
      <c r="T50"/>
      <c r="U50"/>
    </row>
    <row r="51" spans="2:2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s="68"/>
      <c r="T51"/>
      <c r="U51"/>
    </row>
    <row r="52" spans="2:2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 s="68"/>
      <c r="T52"/>
      <c r="U52"/>
    </row>
    <row r="53" spans="2:2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 s="68"/>
      <c r="T53"/>
      <c r="U53"/>
    </row>
    <row r="54" spans="2:21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s="69"/>
      <c r="T54"/>
      <c r="U54"/>
    </row>
    <row r="63" spans="2:21" x14ac:dyDescent="0.3">
      <c r="I63" s="29">
        <f>23*18</f>
        <v>414</v>
      </c>
    </row>
    <row r="365" spans="2:21" x14ac:dyDescent="0.3">
      <c r="B365"/>
      <c r="C365"/>
      <c r="D365"/>
      <c r="E365"/>
      <c r="F365"/>
      <c r="G365"/>
      <c r="H365"/>
      <c r="I365"/>
      <c r="J365"/>
      <c r="K365"/>
      <c r="L365" s="54"/>
      <c r="N365" s="54">
        <v>45820</v>
      </c>
      <c r="O365" s="54"/>
      <c r="P365" s="54"/>
      <c r="Q365"/>
      <c r="R365"/>
      <c r="S365"/>
      <c r="T365"/>
      <c r="U365"/>
    </row>
  </sheetData>
  <sortState ref="B11:Y32">
    <sortCondition ref="B11"/>
  </sortState>
  <mergeCells count="2">
    <mergeCell ref="A2:M2"/>
    <mergeCell ref="H10:I10"/>
  </mergeCells>
  <conditionalFormatting sqref="A6:U10 S34:S53 B13:D32 E13:E33 A12:I12 Q11:R32 A11 I11 E11 F23:I32 K23:O32 J23:J33 F13:I14 J11:O14 S11:U33 A13:A33 F15:O22">
    <cfRule type="expression" dxfId="23" priority="564">
      <formula>ROW()=CELL("fila")</formula>
    </cfRule>
  </conditionalFormatting>
  <conditionalFormatting sqref="P11:P12">
    <cfRule type="expression" dxfId="22" priority="68">
      <formula>ROW()=CELL("fila")</formula>
    </cfRule>
  </conditionalFormatting>
  <conditionalFormatting sqref="P14">
    <cfRule type="expression" dxfId="21" priority="61">
      <formula>ROW()=CELL("fila")</formula>
    </cfRule>
  </conditionalFormatting>
  <conditionalFormatting sqref="P17">
    <cfRule type="expression" dxfId="20" priority="46">
      <formula>ROW()=CELL("fila")</formula>
    </cfRule>
  </conditionalFormatting>
  <conditionalFormatting sqref="P25">
    <cfRule type="expression" dxfId="19" priority="45">
      <formula>ROW()=CELL("fila")</formula>
    </cfRule>
  </conditionalFormatting>
  <conditionalFormatting sqref="P23">
    <cfRule type="expression" dxfId="18" priority="28">
      <formula>ROW()=CELL("fila")</formula>
    </cfRule>
  </conditionalFormatting>
  <conditionalFormatting sqref="P27">
    <cfRule type="expression" dxfId="17" priority="26">
      <formula>ROW()=CELL("fila")</formula>
    </cfRule>
  </conditionalFormatting>
  <conditionalFormatting sqref="B33:D33 Q33:R33 F33:I33 K33:O33">
    <cfRule type="expression" dxfId="16" priority="22">
      <formula>ROW()=CELL("fila")</formula>
    </cfRule>
  </conditionalFormatting>
  <conditionalFormatting sqref="P33">
    <cfRule type="expression" dxfId="15" priority="21">
      <formula>ROW()=CELL("fila")</formula>
    </cfRule>
  </conditionalFormatting>
  <conditionalFormatting sqref="B11:D11 F11:H11">
    <cfRule type="expression" dxfId="14" priority="20">
      <formula>ROW()=CELL("fila")</formula>
    </cfRule>
  </conditionalFormatting>
  <conditionalFormatting sqref="P18">
    <cfRule type="expression" dxfId="13" priority="19">
      <formula>ROW()=CELL("fila")</formula>
    </cfRule>
  </conditionalFormatting>
  <conditionalFormatting sqref="P20">
    <cfRule type="expression" dxfId="12" priority="17">
      <formula>ROW()=CELL("fila")</formula>
    </cfRule>
  </conditionalFormatting>
  <conditionalFormatting sqref="P13">
    <cfRule type="expression" dxfId="11" priority="16">
      <formula>ROW()=CELL("fila")</formula>
    </cfRule>
  </conditionalFormatting>
  <conditionalFormatting sqref="P16">
    <cfRule type="expression" dxfId="10" priority="13">
      <formula>ROW()=CELL("fila")</formula>
    </cfRule>
  </conditionalFormatting>
  <conditionalFormatting sqref="P19">
    <cfRule type="expression" dxfId="9" priority="12">
      <formula>ROW()=CELL("fila")</formula>
    </cfRule>
  </conditionalFormatting>
  <conditionalFormatting sqref="P21">
    <cfRule type="expression" dxfId="8" priority="11">
      <formula>ROW()=CELL("fila")</formula>
    </cfRule>
  </conditionalFormatting>
  <conditionalFormatting sqref="P22">
    <cfRule type="expression" dxfId="7" priority="10">
      <formula>ROW()=CELL("fila")</formula>
    </cfRule>
  </conditionalFormatting>
  <conditionalFormatting sqref="P24">
    <cfRule type="expression" dxfId="6" priority="9">
      <formula>ROW()=CELL("fila")</formula>
    </cfRule>
  </conditionalFormatting>
  <conditionalFormatting sqref="P26">
    <cfRule type="expression" dxfId="5" priority="8">
      <formula>ROW()=CELL("fila")</formula>
    </cfRule>
  </conditionalFormatting>
  <conditionalFormatting sqref="P28">
    <cfRule type="expression" dxfId="4" priority="7">
      <formula>ROW()=CELL("fila")</formula>
    </cfRule>
  </conditionalFormatting>
  <conditionalFormatting sqref="P30">
    <cfRule type="expression" dxfId="3" priority="5">
      <formula>ROW()=CELL("fila")</formula>
    </cfRule>
  </conditionalFormatting>
  <conditionalFormatting sqref="P31:P32">
    <cfRule type="expression" dxfId="2" priority="4">
      <formula>ROW()=CELL("fila")</formula>
    </cfRule>
  </conditionalFormatting>
  <conditionalFormatting sqref="P29">
    <cfRule type="expression" dxfId="1" priority="3">
      <formula>ROW()=CELL("fila")</formula>
    </cfRule>
  </conditionalFormatting>
  <conditionalFormatting sqref="P15">
    <cfRule type="expression" dxfId="0" priority="1">
      <formula>ROW()=CELL("fila")</formula>
    </cfRule>
  </conditionalFormatting>
  <hyperlinks>
    <hyperlink ref="M32" r:id="rId1"/>
    <hyperlink ref="M15" r:id="rId2"/>
    <hyperlink ref="M18" r:id="rId3"/>
    <hyperlink ref="M30" r:id="rId4"/>
    <hyperlink ref="M25" r:id="rId5"/>
    <hyperlink ref="M31" r:id="rId6"/>
    <hyperlink ref="M16" r:id="rId7"/>
    <hyperlink ref="M22" r:id="rId8"/>
    <hyperlink ref="M17" r:id="rId9"/>
    <hyperlink ref="M24" r:id="rId10"/>
    <hyperlink ref="M27" r:id="rId11"/>
    <hyperlink ref="M26" r:id="rId12"/>
    <hyperlink ref="M29" r:id="rId13"/>
    <hyperlink ref="M14" r:id="rId14"/>
    <hyperlink ref="M12" r:id="rId15"/>
    <hyperlink ref="M13" r:id="rId16"/>
    <hyperlink ref="M19" r:id="rId17"/>
    <hyperlink ref="M21" r:id="rId18"/>
    <hyperlink ref="M28" r:id="rId19"/>
    <hyperlink ref="M11" r:id="rId20"/>
    <hyperlink ref="M33" r:id="rId21"/>
    <hyperlink ref="M23" r:id="rId22"/>
    <hyperlink ref="M20" r:id="rId23"/>
  </hyperlinks>
  <pageMargins left="0.70866141732283472" right="0.70866141732283472" top="0.74803149606299213" bottom="0.74803149606299213" header="0.31496062992125984" footer="0.31496062992125984"/>
  <pageSetup paperSize="9" scale="10" orientation="portrait" horizontalDpi="360" verticalDpi="360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C3" sqref="C3:C25"/>
    </sheetView>
  </sheetViews>
  <sheetFormatPr baseColWidth="10" defaultRowHeight="15" x14ac:dyDescent="0.25"/>
  <cols>
    <col min="1" max="1" width="3.140625" bestFit="1" customWidth="1"/>
    <col min="2" max="2" width="8.5703125" customWidth="1"/>
    <col min="3" max="3" width="39.85546875" bestFit="1" customWidth="1"/>
    <col min="4" max="4" width="11.42578125" customWidth="1"/>
    <col min="5" max="5" width="12.28515625" bestFit="1" customWidth="1"/>
    <col min="6" max="6" width="11.42578125" customWidth="1"/>
  </cols>
  <sheetData>
    <row r="1" spans="1:6" ht="30.75" customHeight="1" x14ac:dyDescent="0.25">
      <c r="A1" s="101" t="s">
        <v>298</v>
      </c>
      <c r="B1" s="102"/>
      <c r="C1" s="102"/>
      <c r="D1" s="102"/>
      <c r="E1" s="102"/>
      <c r="F1" s="103"/>
    </row>
    <row r="2" spans="1:6" ht="15" customHeight="1" x14ac:dyDescent="0.25">
      <c r="A2" s="43" t="s">
        <v>7</v>
      </c>
      <c r="B2" s="45" t="s">
        <v>157</v>
      </c>
      <c r="C2" s="43" t="s">
        <v>154</v>
      </c>
      <c r="D2" s="45" t="s">
        <v>155</v>
      </c>
      <c r="E2" s="45" t="s">
        <v>156</v>
      </c>
      <c r="F2" s="47" t="s">
        <v>158</v>
      </c>
    </row>
    <row r="3" spans="1:6" x14ac:dyDescent="0.25">
      <c r="A3" s="44">
        <v>1</v>
      </c>
      <c r="B3" s="44">
        <v>1379</v>
      </c>
      <c r="C3" s="96" t="s">
        <v>285</v>
      </c>
      <c r="D3" s="44" t="s">
        <v>286</v>
      </c>
      <c r="E3" s="44" t="s">
        <v>168</v>
      </c>
      <c r="F3" s="48">
        <v>21</v>
      </c>
    </row>
    <row r="4" spans="1:6" x14ac:dyDescent="0.25">
      <c r="A4" s="44">
        <v>2</v>
      </c>
      <c r="B4" s="44">
        <v>1380</v>
      </c>
      <c r="C4" s="96" t="s">
        <v>197</v>
      </c>
      <c r="D4" s="44" t="s">
        <v>198</v>
      </c>
      <c r="E4" s="44" t="s">
        <v>168</v>
      </c>
      <c r="F4" s="48">
        <v>22</v>
      </c>
    </row>
    <row r="5" spans="1:6" x14ac:dyDescent="0.25">
      <c r="A5" s="44">
        <v>3</v>
      </c>
      <c r="B5" s="44">
        <v>1381</v>
      </c>
      <c r="C5" s="96" t="s">
        <v>173</v>
      </c>
      <c r="D5" s="44" t="s">
        <v>174</v>
      </c>
      <c r="E5" s="44" t="s">
        <v>168</v>
      </c>
      <c r="F5" s="48">
        <v>23</v>
      </c>
    </row>
    <row r="6" spans="1:6" x14ac:dyDescent="0.25">
      <c r="A6" s="44">
        <v>4</v>
      </c>
      <c r="B6" s="44">
        <v>1382</v>
      </c>
      <c r="C6" s="96" t="s">
        <v>177</v>
      </c>
      <c r="D6" s="44" t="s">
        <v>178</v>
      </c>
      <c r="E6" s="44" t="s">
        <v>168</v>
      </c>
      <c r="F6" s="48">
        <v>24</v>
      </c>
    </row>
    <row r="7" spans="1:6" x14ac:dyDescent="0.25">
      <c r="A7" s="44">
        <v>5</v>
      </c>
      <c r="B7" s="44">
        <v>1383</v>
      </c>
      <c r="C7" s="96" t="s">
        <v>228</v>
      </c>
      <c r="D7" s="44" t="s">
        <v>229</v>
      </c>
      <c r="E7" s="44" t="s">
        <v>282</v>
      </c>
      <c r="F7" s="48">
        <v>25</v>
      </c>
    </row>
    <row r="8" spans="1:6" x14ac:dyDescent="0.25">
      <c r="A8" s="44">
        <v>6</v>
      </c>
      <c r="B8" s="44">
        <v>1384</v>
      </c>
      <c r="C8" s="96" t="s">
        <v>224</v>
      </c>
      <c r="D8" s="44" t="s">
        <v>225</v>
      </c>
      <c r="E8" s="44" t="s">
        <v>282</v>
      </c>
      <c r="F8" s="48">
        <v>26</v>
      </c>
    </row>
    <row r="9" spans="1:6" x14ac:dyDescent="0.25">
      <c r="A9" s="44">
        <v>7</v>
      </c>
      <c r="B9" s="44">
        <v>1385</v>
      </c>
      <c r="C9" s="96" t="s">
        <v>241</v>
      </c>
      <c r="D9" s="44" t="s">
        <v>242</v>
      </c>
      <c r="E9" s="44" t="s">
        <v>282</v>
      </c>
      <c r="F9" s="48">
        <v>27</v>
      </c>
    </row>
    <row r="10" spans="1:6" x14ac:dyDescent="0.25">
      <c r="A10" s="44">
        <v>8</v>
      </c>
      <c r="B10" s="44">
        <v>1386</v>
      </c>
      <c r="C10" s="96" t="s">
        <v>261</v>
      </c>
      <c r="D10" s="44" t="s">
        <v>262</v>
      </c>
      <c r="E10" s="44" t="s">
        <v>282</v>
      </c>
      <c r="F10" s="48">
        <v>28</v>
      </c>
    </row>
    <row r="11" spans="1:6" x14ac:dyDescent="0.25">
      <c r="A11" s="44">
        <v>9</v>
      </c>
      <c r="B11" s="44">
        <v>1387</v>
      </c>
      <c r="C11" s="96" t="s">
        <v>257</v>
      </c>
      <c r="D11" s="44" t="s">
        <v>258</v>
      </c>
      <c r="E11" s="44" t="s">
        <v>169</v>
      </c>
      <c r="F11" s="48">
        <v>29</v>
      </c>
    </row>
    <row r="12" spans="1:6" x14ac:dyDescent="0.25">
      <c r="A12" s="44">
        <v>10</v>
      </c>
      <c r="B12" s="44">
        <v>1388</v>
      </c>
      <c r="C12" s="96" t="s">
        <v>210</v>
      </c>
      <c r="D12" s="44" t="s">
        <v>202</v>
      </c>
      <c r="E12" s="44" t="s">
        <v>169</v>
      </c>
      <c r="F12" s="48">
        <v>30</v>
      </c>
    </row>
    <row r="13" spans="1:6" x14ac:dyDescent="0.25">
      <c r="A13" s="44">
        <v>11</v>
      </c>
      <c r="B13" s="44">
        <v>1389</v>
      </c>
      <c r="C13" s="96" t="s">
        <v>164</v>
      </c>
      <c r="D13" s="44" t="s">
        <v>165</v>
      </c>
      <c r="E13" s="44" t="s">
        <v>169</v>
      </c>
      <c r="F13" s="48">
        <v>31</v>
      </c>
    </row>
    <row r="14" spans="1:6" x14ac:dyDescent="0.25">
      <c r="A14" s="44">
        <v>12</v>
      </c>
      <c r="B14" s="44">
        <v>1390</v>
      </c>
      <c r="C14" s="96" t="s">
        <v>288</v>
      </c>
      <c r="D14" s="44">
        <v>1752591915</v>
      </c>
      <c r="E14" s="44" t="s">
        <v>169</v>
      </c>
      <c r="F14" s="48">
        <v>32</v>
      </c>
    </row>
    <row r="15" spans="1:6" x14ac:dyDescent="0.25">
      <c r="A15" s="44">
        <v>13</v>
      </c>
      <c r="B15" s="44">
        <v>1391</v>
      </c>
      <c r="C15" s="96" t="s">
        <v>185</v>
      </c>
      <c r="D15" s="44" t="s">
        <v>186</v>
      </c>
      <c r="E15" s="44" t="s">
        <v>189</v>
      </c>
      <c r="F15" s="48">
        <v>33</v>
      </c>
    </row>
    <row r="16" spans="1:6" x14ac:dyDescent="0.25">
      <c r="A16" s="44">
        <v>14</v>
      </c>
      <c r="B16" s="44">
        <v>1392</v>
      </c>
      <c r="C16" s="96" t="s">
        <v>250</v>
      </c>
      <c r="D16" s="44" t="s">
        <v>251</v>
      </c>
      <c r="E16" s="44" t="s">
        <v>189</v>
      </c>
      <c r="F16" s="48">
        <v>34</v>
      </c>
    </row>
    <row r="17" spans="1:6" x14ac:dyDescent="0.25">
      <c r="A17" s="44">
        <v>15</v>
      </c>
      <c r="B17" s="44">
        <v>1393</v>
      </c>
      <c r="C17" s="96" t="s">
        <v>236</v>
      </c>
      <c r="D17" s="44" t="s">
        <v>237</v>
      </c>
      <c r="E17" s="44" t="s">
        <v>189</v>
      </c>
      <c r="F17" s="48">
        <v>38</v>
      </c>
    </row>
    <row r="18" spans="1:6" x14ac:dyDescent="0.25">
      <c r="A18" s="44">
        <v>16</v>
      </c>
      <c r="B18" s="44">
        <v>1394</v>
      </c>
      <c r="C18" s="96" t="s">
        <v>192</v>
      </c>
      <c r="D18" s="44" t="s">
        <v>193</v>
      </c>
      <c r="E18" s="44" t="s">
        <v>189</v>
      </c>
      <c r="F18" s="48">
        <v>39</v>
      </c>
    </row>
    <row r="19" spans="1:6" x14ac:dyDescent="0.25">
      <c r="A19" s="44">
        <v>17</v>
      </c>
      <c r="B19" s="44">
        <v>1395</v>
      </c>
      <c r="C19" s="96" t="s">
        <v>219</v>
      </c>
      <c r="D19" s="44" t="s">
        <v>220</v>
      </c>
      <c r="E19" s="44" t="s">
        <v>222</v>
      </c>
      <c r="F19" s="48">
        <v>40</v>
      </c>
    </row>
    <row r="20" spans="1:6" x14ac:dyDescent="0.25">
      <c r="A20" s="44">
        <v>18</v>
      </c>
      <c r="B20" s="44">
        <v>1396</v>
      </c>
      <c r="C20" s="96" t="s">
        <v>212</v>
      </c>
      <c r="D20" s="44" t="s">
        <v>213</v>
      </c>
      <c r="E20" s="44" t="s">
        <v>222</v>
      </c>
      <c r="F20" s="48">
        <v>41</v>
      </c>
    </row>
    <row r="21" spans="1:6" x14ac:dyDescent="0.25">
      <c r="A21" s="44">
        <v>19</v>
      </c>
      <c r="B21" s="44">
        <v>1397</v>
      </c>
      <c r="C21" s="96" t="s">
        <v>245</v>
      </c>
      <c r="D21" s="44" t="s">
        <v>246</v>
      </c>
      <c r="E21" s="44" t="s">
        <v>222</v>
      </c>
      <c r="F21" s="48">
        <v>42</v>
      </c>
    </row>
    <row r="22" spans="1:6" x14ac:dyDescent="0.25">
      <c r="A22" s="44">
        <v>20</v>
      </c>
      <c r="B22" s="44">
        <v>1398</v>
      </c>
      <c r="C22" s="96" t="s">
        <v>232</v>
      </c>
      <c r="D22" s="44" t="s">
        <v>233</v>
      </c>
      <c r="E22" s="44" t="s">
        <v>222</v>
      </c>
      <c r="F22" s="48">
        <v>43</v>
      </c>
    </row>
    <row r="23" spans="1:6" x14ac:dyDescent="0.25">
      <c r="A23" s="44">
        <v>21</v>
      </c>
      <c r="B23" s="44">
        <v>1399</v>
      </c>
      <c r="C23" s="96" t="s">
        <v>254</v>
      </c>
      <c r="D23" s="44" t="s">
        <v>255</v>
      </c>
      <c r="E23" s="44" t="s">
        <v>297</v>
      </c>
      <c r="F23" s="48">
        <v>44</v>
      </c>
    </row>
    <row r="24" spans="1:6" x14ac:dyDescent="0.25">
      <c r="A24" s="44">
        <v>22</v>
      </c>
      <c r="B24" s="44">
        <v>1400</v>
      </c>
      <c r="C24" s="96" t="s">
        <v>265</v>
      </c>
      <c r="D24" s="44" t="s">
        <v>266</v>
      </c>
      <c r="E24" s="44" t="s">
        <v>297</v>
      </c>
      <c r="F24" s="48">
        <v>45</v>
      </c>
    </row>
    <row r="25" spans="1:6" x14ac:dyDescent="0.25">
      <c r="A25" s="44">
        <v>23</v>
      </c>
      <c r="B25" s="44">
        <v>1401</v>
      </c>
      <c r="C25" s="96" t="s">
        <v>289</v>
      </c>
      <c r="D25" s="44" t="s">
        <v>290</v>
      </c>
      <c r="E25" s="44" t="s">
        <v>297</v>
      </c>
      <c r="F25" s="48">
        <v>55</v>
      </c>
    </row>
  </sheetData>
  <sortState ref="C3:E25">
    <sortCondition ref="E3:E25"/>
  </sortState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19" workbookViewId="0">
      <selection sqref="A1:C18"/>
    </sheetView>
  </sheetViews>
  <sheetFormatPr baseColWidth="10" defaultRowHeight="15" x14ac:dyDescent="0.25"/>
  <cols>
    <col min="1" max="1" width="3" bestFit="1" customWidth="1"/>
    <col min="2" max="2" width="39.85546875" bestFit="1" customWidth="1"/>
    <col min="3" max="3" width="15.42578125" bestFit="1" customWidth="1"/>
  </cols>
  <sheetData>
    <row r="1" spans="1:3" x14ac:dyDescent="0.25">
      <c r="A1" s="104" t="s">
        <v>299</v>
      </c>
      <c r="B1" s="104"/>
      <c r="C1" s="104"/>
    </row>
    <row r="2" spans="1:3" x14ac:dyDescent="0.25">
      <c r="A2" s="104"/>
      <c r="B2" s="104"/>
      <c r="C2" s="104"/>
    </row>
    <row r="3" spans="1:3" x14ac:dyDescent="0.25">
      <c r="A3" s="49">
        <v>1</v>
      </c>
      <c r="B3" s="51" t="s">
        <v>228</v>
      </c>
      <c r="C3" s="51"/>
    </row>
    <row r="4" spans="1:3" x14ac:dyDescent="0.25">
      <c r="A4" s="49">
        <v>2</v>
      </c>
      <c r="B4" s="51" t="s">
        <v>285</v>
      </c>
      <c r="C4" s="51"/>
    </row>
    <row r="5" spans="1:3" x14ac:dyDescent="0.25">
      <c r="A5" s="49">
        <v>3</v>
      </c>
      <c r="B5" s="51" t="s">
        <v>257</v>
      </c>
      <c r="C5" s="51" t="s">
        <v>176</v>
      </c>
    </row>
    <row r="6" spans="1:3" x14ac:dyDescent="0.25">
      <c r="A6" s="49">
        <v>4</v>
      </c>
      <c r="B6" s="51" t="s">
        <v>250</v>
      </c>
      <c r="C6" s="51" t="s">
        <v>176</v>
      </c>
    </row>
    <row r="7" spans="1:3" ht="45" x14ac:dyDescent="0.25">
      <c r="A7" s="49">
        <v>5</v>
      </c>
      <c r="B7" s="51" t="s">
        <v>224</v>
      </c>
      <c r="C7" s="51" t="s">
        <v>277</v>
      </c>
    </row>
    <row r="8" spans="1:3" ht="30" x14ac:dyDescent="0.25">
      <c r="A8" s="49">
        <v>6</v>
      </c>
      <c r="B8" s="51" t="s">
        <v>210</v>
      </c>
      <c r="C8" s="51" t="s">
        <v>209</v>
      </c>
    </row>
    <row r="9" spans="1:3" ht="30" x14ac:dyDescent="0.25">
      <c r="A9" s="49">
        <v>7</v>
      </c>
      <c r="B9" s="51" t="s">
        <v>254</v>
      </c>
      <c r="C9" s="51" t="s">
        <v>176</v>
      </c>
    </row>
    <row r="10" spans="1:3" x14ac:dyDescent="0.25">
      <c r="A10" s="49">
        <v>8</v>
      </c>
      <c r="B10" s="51" t="s">
        <v>173</v>
      </c>
      <c r="C10" s="51" t="s">
        <v>176</v>
      </c>
    </row>
    <row r="11" spans="1:3" x14ac:dyDescent="0.25">
      <c r="A11" s="49">
        <v>9</v>
      </c>
      <c r="B11" s="51" t="s">
        <v>245</v>
      </c>
      <c r="C11" s="51" t="s">
        <v>176</v>
      </c>
    </row>
    <row r="12" spans="1:3" x14ac:dyDescent="0.25">
      <c r="A12" s="49">
        <v>10</v>
      </c>
      <c r="B12" s="51" t="s">
        <v>265</v>
      </c>
      <c r="C12" s="51"/>
    </row>
    <row r="13" spans="1:3" ht="30" x14ac:dyDescent="0.25">
      <c r="A13" s="49">
        <v>11</v>
      </c>
      <c r="B13" s="51" t="s">
        <v>236</v>
      </c>
      <c r="C13" s="51" t="s">
        <v>235</v>
      </c>
    </row>
    <row r="14" spans="1:3" ht="30" x14ac:dyDescent="0.25">
      <c r="A14" s="49">
        <v>12</v>
      </c>
      <c r="B14" s="51" t="s">
        <v>241</v>
      </c>
      <c r="C14" s="51" t="s">
        <v>235</v>
      </c>
    </row>
    <row r="15" spans="1:3" ht="30" x14ac:dyDescent="0.25">
      <c r="A15" s="49">
        <v>13</v>
      </c>
      <c r="B15" s="51" t="s">
        <v>232</v>
      </c>
      <c r="C15" s="51" t="s">
        <v>235</v>
      </c>
    </row>
    <row r="16" spans="1:3" x14ac:dyDescent="0.25">
      <c r="A16" s="49">
        <v>14</v>
      </c>
      <c r="B16" s="51" t="s">
        <v>288</v>
      </c>
      <c r="C16" s="51" t="s">
        <v>176</v>
      </c>
    </row>
    <row r="17" spans="1:3" x14ac:dyDescent="0.25">
      <c r="A17" s="49">
        <v>15</v>
      </c>
      <c r="B17" s="51" t="s">
        <v>261</v>
      </c>
      <c r="C17" s="51" t="s">
        <v>176</v>
      </c>
    </row>
    <row r="18" spans="1:3" x14ac:dyDescent="0.25">
      <c r="A18" s="49">
        <v>16</v>
      </c>
      <c r="B18" s="51" t="s">
        <v>289</v>
      </c>
      <c r="C18" s="51"/>
    </row>
    <row r="19" spans="1:3" x14ac:dyDescent="0.25">
      <c r="A19" s="49">
        <v>17</v>
      </c>
      <c r="B19" s="51"/>
      <c r="C19" s="51"/>
    </row>
    <row r="20" spans="1:3" x14ac:dyDescent="0.25">
      <c r="A20" s="49">
        <v>18</v>
      </c>
      <c r="B20" s="51"/>
      <c r="C20" s="51"/>
    </row>
    <row r="21" spans="1:3" x14ac:dyDescent="0.25">
      <c r="A21" s="49">
        <v>19</v>
      </c>
      <c r="B21" s="44"/>
      <c r="C21" s="44"/>
    </row>
    <row r="22" spans="1:3" x14ac:dyDescent="0.25">
      <c r="A22" s="49">
        <v>20</v>
      </c>
      <c r="B22" s="44"/>
      <c r="C22" s="44"/>
    </row>
    <row r="23" spans="1:3" x14ac:dyDescent="0.25">
      <c r="A23" s="49">
        <v>21</v>
      </c>
      <c r="B23" s="44"/>
      <c r="C23" s="44"/>
    </row>
    <row r="24" spans="1:3" x14ac:dyDescent="0.25">
      <c r="A24" s="49">
        <v>22</v>
      </c>
      <c r="B24" s="44"/>
      <c r="C24" s="44"/>
    </row>
    <row r="25" spans="1:3" x14ac:dyDescent="0.25">
      <c r="A25" s="49">
        <v>23</v>
      </c>
      <c r="B25" s="51"/>
      <c r="C25" s="51"/>
    </row>
    <row r="26" spans="1:3" x14ac:dyDescent="0.25">
      <c r="A26" s="49">
        <v>24</v>
      </c>
      <c r="B26" s="51"/>
      <c r="C26" s="51"/>
    </row>
    <row r="27" spans="1:3" x14ac:dyDescent="0.25">
      <c r="A27" s="49">
        <v>25</v>
      </c>
      <c r="B27" s="51"/>
      <c r="C27" s="51"/>
    </row>
    <row r="28" spans="1:3" x14ac:dyDescent="0.25">
      <c r="A28" s="49">
        <v>26</v>
      </c>
      <c r="B28" s="51"/>
      <c r="C28" s="51"/>
    </row>
    <row r="29" spans="1:3" x14ac:dyDescent="0.25">
      <c r="A29" s="49">
        <v>27</v>
      </c>
      <c r="B29" s="51"/>
      <c r="C29" s="51"/>
    </row>
    <row r="30" spans="1:3" x14ac:dyDescent="0.25">
      <c r="A30" s="49">
        <v>28</v>
      </c>
      <c r="B30" s="51"/>
      <c r="C30" s="51"/>
    </row>
    <row r="31" spans="1:3" x14ac:dyDescent="0.25">
      <c r="A31" s="49">
        <v>29</v>
      </c>
      <c r="B31" s="51"/>
      <c r="C31" s="51"/>
    </row>
    <row r="32" spans="1:3" x14ac:dyDescent="0.25">
      <c r="A32" s="49">
        <v>30</v>
      </c>
      <c r="B32" s="51"/>
      <c r="C32" s="51"/>
    </row>
    <row r="33" spans="1:3" x14ac:dyDescent="0.25">
      <c r="A33" s="49">
        <v>31</v>
      </c>
      <c r="B33" s="51"/>
      <c r="C33" s="51"/>
    </row>
    <row r="34" spans="1:3" x14ac:dyDescent="0.25">
      <c r="A34" s="49">
        <v>32</v>
      </c>
      <c r="B34" s="51"/>
      <c r="C34" s="51"/>
    </row>
    <row r="35" spans="1:3" x14ac:dyDescent="0.25">
      <c r="A35" s="49">
        <v>33</v>
      </c>
      <c r="B35" s="51"/>
      <c r="C35" s="51"/>
    </row>
    <row r="36" spans="1:3" x14ac:dyDescent="0.25">
      <c r="A36" s="49">
        <v>34</v>
      </c>
      <c r="B36" s="51"/>
      <c r="C36" s="51"/>
    </row>
    <row r="37" spans="1:3" x14ac:dyDescent="0.25">
      <c r="A37" s="49">
        <v>35</v>
      </c>
      <c r="B37" s="51"/>
      <c r="C37" s="51"/>
    </row>
    <row r="38" spans="1:3" x14ac:dyDescent="0.25">
      <c r="A38" s="49">
        <v>36</v>
      </c>
      <c r="B38" s="51"/>
      <c r="C38" s="51"/>
    </row>
    <row r="39" spans="1:3" x14ac:dyDescent="0.25">
      <c r="A39" s="49">
        <v>37</v>
      </c>
      <c r="B39" s="51"/>
      <c r="C39" s="51"/>
    </row>
    <row r="40" spans="1:3" x14ac:dyDescent="0.25">
      <c r="A40" s="49">
        <v>38</v>
      </c>
      <c r="B40" s="51"/>
      <c r="C40" s="51"/>
    </row>
    <row r="41" spans="1:3" x14ac:dyDescent="0.25">
      <c r="A41" s="49">
        <v>39</v>
      </c>
      <c r="B41" s="51"/>
      <c r="C41" s="51"/>
    </row>
    <row r="42" spans="1:3" x14ac:dyDescent="0.25">
      <c r="A42" s="49">
        <v>40</v>
      </c>
      <c r="B42" s="51"/>
      <c r="C42" s="51"/>
    </row>
  </sheetData>
  <mergeCells count="1">
    <mergeCell ref="A1:C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L33"/>
  <sheetViews>
    <sheetView zoomScale="78" zoomScaleNormal="78" workbookViewId="0">
      <selection activeCell="B24" sqref="B24"/>
    </sheetView>
  </sheetViews>
  <sheetFormatPr baseColWidth="10" defaultRowHeight="15" x14ac:dyDescent="0.25"/>
  <cols>
    <col min="1" max="1" width="8.140625" customWidth="1"/>
    <col min="2" max="2" width="59.42578125" bestFit="1" customWidth="1"/>
    <col min="3" max="3" width="21.7109375" customWidth="1"/>
    <col min="4" max="4" width="15" customWidth="1"/>
    <col min="5" max="5" width="11.42578125" customWidth="1"/>
    <col min="6" max="6" width="15.5703125" customWidth="1"/>
    <col min="7" max="7" width="16.140625" customWidth="1"/>
    <col min="8" max="8" width="16.5703125" customWidth="1"/>
    <col min="9" max="9" width="18.5703125" customWidth="1"/>
    <col min="10" max="10" width="32.42578125" customWidth="1"/>
    <col min="11" max="11" width="19" customWidth="1"/>
    <col min="12" max="12" width="28" customWidth="1"/>
  </cols>
  <sheetData>
    <row r="1" spans="1:12" ht="16.5" x14ac:dyDescent="0.3">
      <c r="A1" s="1"/>
      <c r="B1" s="2"/>
      <c r="C1" s="3"/>
      <c r="D1" s="3"/>
      <c r="E1" s="3"/>
      <c r="F1" s="4"/>
      <c r="G1" s="5"/>
      <c r="H1" s="3"/>
      <c r="I1" s="3"/>
      <c r="J1" s="4"/>
      <c r="K1" s="24"/>
      <c r="L1" s="24"/>
    </row>
    <row r="2" spans="1:12" x14ac:dyDescent="0.25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24"/>
      <c r="L2" s="24"/>
    </row>
    <row r="3" spans="1:12" x14ac:dyDescent="0.2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24"/>
      <c r="L3" s="24"/>
    </row>
    <row r="4" spans="1:12" x14ac:dyDescent="0.25">
      <c r="A4" s="7"/>
      <c r="B4" s="7"/>
      <c r="C4" s="7"/>
      <c r="D4" s="8"/>
      <c r="E4" s="7"/>
      <c r="F4" s="9"/>
      <c r="G4" s="9"/>
      <c r="H4" s="10"/>
      <c r="I4" s="10"/>
      <c r="J4" s="9"/>
      <c r="K4" s="24"/>
      <c r="L4" s="24"/>
    </row>
    <row r="5" spans="1:12" x14ac:dyDescent="0.25">
      <c r="A5" s="7"/>
      <c r="B5" s="7"/>
      <c r="C5" s="7"/>
      <c r="D5" s="7"/>
      <c r="E5" s="8"/>
      <c r="F5" s="9"/>
      <c r="G5" s="9"/>
      <c r="H5" s="10"/>
      <c r="I5" s="10"/>
      <c r="J5" s="9"/>
      <c r="K5" s="24"/>
      <c r="L5" s="24"/>
    </row>
    <row r="6" spans="1:12" x14ac:dyDescent="0.25">
      <c r="A6" s="11" t="s">
        <v>2</v>
      </c>
      <c r="B6" s="11"/>
      <c r="C6" s="7" t="s">
        <v>33</v>
      </c>
      <c r="D6" s="7"/>
      <c r="E6" s="7"/>
      <c r="F6" s="10"/>
      <c r="G6" s="9"/>
      <c r="H6" s="10"/>
      <c r="I6" s="10"/>
      <c r="J6" s="9"/>
      <c r="K6" s="24"/>
      <c r="L6" s="24"/>
    </row>
    <row r="7" spans="1:12" x14ac:dyDescent="0.25">
      <c r="A7" s="11" t="s">
        <v>3</v>
      </c>
      <c r="B7" s="11"/>
      <c r="C7" s="7" t="s">
        <v>4</v>
      </c>
      <c r="D7" s="7"/>
      <c r="E7" s="7"/>
      <c r="F7" s="9"/>
      <c r="G7" s="9"/>
      <c r="H7" s="10"/>
      <c r="I7" s="10"/>
      <c r="J7" s="9"/>
      <c r="K7" s="24"/>
      <c r="L7" s="24"/>
    </row>
    <row r="8" spans="1:12" ht="15.75" thickBot="1" x14ac:dyDescent="0.3">
      <c r="A8" s="11" t="s">
        <v>5</v>
      </c>
      <c r="B8" s="11"/>
      <c r="C8" s="7" t="s">
        <v>6</v>
      </c>
      <c r="D8" s="7"/>
      <c r="E8" s="7"/>
      <c r="F8" s="12"/>
      <c r="G8" s="12"/>
      <c r="H8" s="13"/>
      <c r="I8" s="13"/>
      <c r="J8" s="12"/>
      <c r="K8" s="24"/>
      <c r="L8" s="24"/>
    </row>
    <row r="9" spans="1:12" ht="57.75" customHeight="1" thickBot="1" x14ac:dyDescent="0.3">
      <c r="A9" s="40" t="s">
        <v>7</v>
      </c>
      <c r="B9" s="14" t="s">
        <v>8</v>
      </c>
      <c r="C9" s="14" t="s">
        <v>9</v>
      </c>
      <c r="D9" s="14" t="s">
        <v>10</v>
      </c>
      <c r="E9" s="14" t="s">
        <v>11</v>
      </c>
      <c r="F9" s="14" t="s">
        <v>12</v>
      </c>
      <c r="G9" s="15" t="s">
        <v>13</v>
      </c>
      <c r="H9" s="99" t="s">
        <v>14</v>
      </c>
      <c r="I9" s="100"/>
      <c r="J9" s="17" t="s">
        <v>18</v>
      </c>
      <c r="K9" s="16" t="s">
        <v>20</v>
      </c>
      <c r="L9" s="26" t="s">
        <v>21</v>
      </c>
    </row>
    <row r="10" spans="1:12" ht="97.5" x14ac:dyDescent="0.25">
      <c r="A10" s="38">
        <v>1</v>
      </c>
      <c r="B10" s="18" t="s">
        <v>67</v>
      </c>
      <c r="C10" s="19" t="s">
        <v>68</v>
      </c>
      <c r="D10" s="20">
        <v>22508</v>
      </c>
      <c r="E10" s="21">
        <f t="shared" ref="E10:E33" ca="1" si="0">YEAR(TODAY())-YEAR(D10)</f>
        <v>65</v>
      </c>
      <c r="F10" s="20">
        <v>45258</v>
      </c>
      <c r="G10" s="18" t="s">
        <v>25</v>
      </c>
      <c r="H10" s="19" t="s">
        <v>69</v>
      </c>
      <c r="I10" s="19"/>
      <c r="J10" s="30" t="s">
        <v>70</v>
      </c>
      <c r="K10" s="22" t="s">
        <v>24</v>
      </c>
      <c r="L10" s="39" t="s">
        <v>128</v>
      </c>
    </row>
    <row r="11" spans="1:12" ht="58.5" x14ac:dyDescent="0.25">
      <c r="A11" s="33">
        <v>2</v>
      </c>
      <c r="B11" s="31" t="s">
        <v>118</v>
      </c>
      <c r="C11" s="32" t="s">
        <v>115</v>
      </c>
      <c r="D11" s="34">
        <v>37782</v>
      </c>
      <c r="E11" s="35">
        <f t="shared" ca="1" si="0"/>
        <v>23</v>
      </c>
      <c r="F11" s="34">
        <v>45260</v>
      </c>
      <c r="G11" s="31" t="s">
        <v>135</v>
      </c>
      <c r="H11" s="32" t="s">
        <v>116</v>
      </c>
      <c r="I11" s="32"/>
      <c r="J11" s="36" t="s">
        <v>117</v>
      </c>
      <c r="K11" s="27" t="s">
        <v>24</v>
      </c>
      <c r="L11" s="28" t="s">
        <v>27</v>
      </c>
    </row>
    <row r="12" spans="1:12" ht="58.5" x14ac:dyDescent="0.25">
      <c r="A12" s="33">
        <v>3</v>
      </c>
      <c r="B12" s="31" t="s">
        <v>99</v>
      </c>
      <c r="C12" s="32" t="s">
        <v>100</v>
      </c>
      <c r="D12" s="34">
        <v>35714</v>
      </c>
      <c r="E12" s="35">
        <f t="shared" ca="1" si="0"/>
        <v>29</v>
      </c>
      <c r="F12" s="34">
        <v>45260</v>
      </c>
      <c r="G12" s="31" t="s">
        <v>58</v>
      </c>
      <c r="H12" s="32" t="s">
        <v>101</v>
      </c>
      <c r="I12" s="32"/>
      <c r="J12" s="36" t="s">
        <v>102</v>
      </c>
      <c r="K12" s="27" t="s">
        <v>24</v>
      </c>
      <c r="L12" s="28" t="s">
        <v>27</v>
      </c>
    </row>
    <row r="13" spans="1:12" ht="19.5" x14ac:dyDescent="0.25">
      <c r="A13" s="38">
        <v>4</v>
      </c>
      <c r="B13" s="31" t="s">
        <v>39</v>
      </c>
      <c r="C13" s="32" t="s">
        <v>40</v>
      </c>
      <c r="D13" s="34">
        <v>35875</v>
      </c>
      <c r="E13" s="35">
        <f t="shared" ca="1" si="0"/>
        <v>28</v>
      </c>
      <c r="F13" s="34">
        <v>45260</v>
      </c>
      <c r="G13" s="31" t="s">
        <v>25</v>
      </c>
      <c r="H13" s="32" t="s">
        <v>97</v>
      </c>
      <c r="I13" s="32"/>
      <c r="J13" s="36" t="s">
        <v>98</v>
      </c>
      <c r="K13" s="27" t="s">
        <v>28</v>
      </c>
      <c r="L13" s="28"/>
    </row>
    <row r="14" spans="1:12" ht="97.5" x14ac:dyDescent="0.25">
      <c r="A14" s="33">
        <v>5</v>
      </c>
      <c r="B14" s="31" t="s">
        <v>129</v>
      </c>
      <c r="C14" s="32" t="s">
        <v>90</v>
      </c>
      <c r="D14" s="34">
        <v>32445</v>
      </c>
      <c r="E14" s="35">
        <f t="shared" ca="1" si="0"/>
        <v>38</v>
      </c>
      <c r="F14" s="34">
        <v>45260</v>
      </c>
      <c r="G14" s="31" t="s">
        <v>91</v>
      </c>
      <c r="H14" s="32" t="s">
        <v>92</v>
      </c>
      <c r="I14" s="32"/>
      <c r="J14" s="36" t="s">
        <v>93</v>
      </c>
      <c r="K14" s="27" t="s">
        <v>24</v>
      </c>
      <c r="L14" s="28" t="s">
        <v>123</v>
      </c>
    </row>
    <row r="15" spans="1:12" ht="58.5" x14ac:dyDescent="0.25">
      <c r="A15" s="33">
        <v>6</v>
      </c>
      <c r="B15" s="31" t="s">
        <v>66</v>
      </c>
      <c r="C15" s="32" t="s">
        <v>32</v>
      </c>
      <c r="D15" s="34">
        <v>35325</v>
      </c>
      <c r="E15" s="35">
        <f t="shared" ca="1" si="0"/>
        <v>30</v>
      </c>
      <c r="F15" s="34">
        <v>45260</v>
      </c>
      <c r="G15" s="31" t="s">
        <v>58</v>
      </c>
      <c r="H15" s="32" t="s">
        <v>130</v>
      </c>
      <c r="I15" s="32"/>
      <c r="J15" s="36" t="s">
        <v>131</v>
      </c>
      <c r="K15" s="27" t="s">
        <v>24</v>
      </c>
      <c r="L15" s="28" t="s">
        <v>27</v>
      </c>
    </row>
    <row r="16" spans="1:12" ht="19.5" x14ac:dyDescent="0.25">
      <c r="A16" s="38">
        <v>7</v>
      </c>
      <c r="B16" s="31" t="s">
        <v>52</v>
      </c>
      <c r="C16" s="32" t="s">
        <v>53</v>
      </c>
      <c r="D16" s="34">
        <v>34422</v>
      </c>
      <c r="E16" s="35">
        <f t="shared" ca="1" si="0"/>
        <v>32</v>
      </c>
      <c r="F16" s="34">
        <v>45259</v>
      </c>
      <c r="G16" s="31" t="s">
        <v>25</v>
      </c>
      <c r="H16" s="32" t="s">
        <v>54</v>
      </c>
      <c r="I16" s="32" t="s">
        <v>55</v>
      </c>
      <c r="J16" s="36" t="s">
        <v>56</v>
      </c>
      <c r="K16" s="27" t="s">
        <v>28</v>
      </c>
      <c r="L16" s="28"/>
    </row>
    <row r="17" spans="1:12" ht="58.5" x14ac:dyDescent="0.25">
      <c r="A17" s="33">
        <v>8</v>
      </c>
      <c r="B17" s="31" t="s">
        <v>108</v>
      </c>
      <c r="C17" s="32" t="s">
        <v>109</v>
      </c>
      <c r="D17" s="34">
        <v>38675</v>
      </c>
      <c r="E17" s="35">
        <f t="shared" ca="1" si="0"/>
        <v>21</v>
      </c>
      <c r="F17" s="34">
        <v>45260</v>
      </c>
      <c r="G17" s="31" t="s">
        <v>136</v>
      </c>
      <c r="H17" s="32" t="s">
        <v>110</v>
      </c>
      <c r="I17" s="32"/>
      <c r="J17" s="36" t="s">
        <v>111</v>
      </c>
      <c r="K17" s="27" t="s">
        <v>29</v>
      </c>
      <c r="L17" s="28" t="s">
        <v>27</v>
      </c>
    </row>
    <row r="18" spans="1:12" ht="58.5" x14ac:dyDescent="0.25">
      <c r="A18" s="33">
        <v>9</v>
      </c>
      <c r="B18" s="31" t="s">
        <v>124</v>
      </c>
      <c r="C18" s="32" t="s">
        <v>125</v>
      </c>
      <c r="D18" s="34">
        <v>35273</v>
      </c>
      <c r="E18" s="35">
        <f t="shared" ca="1" si="0"/>
        <v>30</v>
      </c>
      <c r="F18" s="34">
        <v>45260</v>
      </c>
      <c r="G18" s="31" t="s">
        <v>58</v>
      </c>
      <c r="H18" s="32" t="s">
        <v>83</v>
      </c>
      <c r="I18" s="32"/>
      <c r="J18" s="36" t="s">
        <v>126</v>
      </c>
      <c r="K18" s="27" t="s">
        <v>24</v>
      </c>
      <c r="L18" s="28" t="s">
        <v>27</v>
      </c>
    </row>
    <row r="19" spans="1:12" ht="19.5" x14ac:dyDescent="0.25">
      <c r="A19" s="38">
        <v>10</v>
      </c>
      <c r="B19" s="31" t="s">
        <v>48</v>
      </c>
      <c r="C19" s="32" t="s">
        <v>49</v>
      </c>
      <c r="D19" s="34">
        <v>33058</v>
      </c>
      <c r="E19" s="35">
        <f t="shared" ca="1" si="0"/>
        <v>36</v>
      </c>
      <c r="F19" s="34">
        <v>45260</v>
      </c>
      <c r="G19" s="31" t="s">
        <v>87</v>
      </c>
      <c r="H19" s="32" t="s">
        <v>50</v>
      </c>
      <c r="I19" s="32"/>
      <c r="J19" s="36" t="s">
        <v>51</v>
      </c>
      <c r="K19" s="27" t="s">
        <v>28</v>
      </c>
      <c r="L19" s="28"/>
    </row>
    <row r="20" spans="1:12" ht="97.5" x14ac:dyDescent="0.25">
      <c r="A20" s="33">
        <v>11</v>
      </c>
      <c r="B20" s="31" t="s">
        <v>119</v>
      </c>
      <c r="C20" s="32" t="s">
        <v>120</v>
      </c>
      <c r="D20" s="34">
        <v>29500</v>
      </c>
      <c r="E20" s="35">
        <f t="shared" ca="1" si="0"/>
        <v>46</v>
      </c>
      <c r="F20" s="34">
        <v>45260</v>
      </c>
      <c r="G20" s="31" t="s">
        <v>87</v>
      </c>
      <c r="H20" s="32" t="s">
        <v>121</v>
      </c>
      <c r="I20" s="32"/>
      <c r="J20" s="36" t="s">
        <v>122</v>
      </c>
      <c r="K20" s="27" t="s">
        <v>29</v>
      </c>
      <c r="L20" s="28" t="s">
        <v>123</v>
      </c>
    </row>
    <row r="21" spans="1:12" ht="58.5" x14ac:dyDescent="0.25">
      <c r="A21" s="33">
        <v>12</v>
      </c>
      <c r="B21" s="31" t="s">
        <v>103</v>
      </c>
      <c r="C21" s="32" t="s">
        <v>104</v>
      </c>
      <c r="D21" s="34">
        <v>38548</v>
      </c>
      <c r="E21" s="35">
        <f t="shared" ca="1" si="0"/>
        <v>21</v>
      </c>
      <c r="F21" s="34">
        <v>45260</v>
      </c>
      <c r="G21" s="31" t="s">
        <v>25</v>
      </c>
      <c r="H21" s="32" t="s">
        <v>132</v>
      </c>
      <c r="I21" s="32"/>
      <c r="J21" s="36" t="s">
        <v>105</v>
      </c>
      <c r="K21" s="27" t="s">
        <v>24</v>
      </c>
      <c r="L21" s="28" t="s">
        <v>27</v>
      </c>
    </row>
    <row r="22" spans="1:12" ht="58.5" x14ac:dyDescent="0.25">
      <c r="A22" s="38">
        <v>13</v>
      </c>
      <c r="B22" s="31" t="s">
        <v>94</v>
      </c>
      <c r="C22" s="32" t="s">
        <v>84</v>
      </c>
      <c r="D22" s="34">
        <v>38672</v>
      </c>
      <c r="E22" s="35">
        <f t="shared" ca="1" si="0"/>
        <v>21</v>
      </c>
      <c r="F22" s="34">
        <v>45260</v>
      </c>
      <c r="G22" s="31" t="s">
        <v>95</v>
      </c>
      <c r="H22" s="32" t="s">
        <v>134</v>
      </c>
      <c r="I22" s="32" t="s">
        <v>133</v>
      </c>
      <c r="J22" s="36" t="s">
        <v>96</v>
      </c>
      <c r="K22" s="27" t="s">
        <v>24</v>
      </c>
      <c r="L22" s="28" t="s">
        <v>27</v>
      </c>
    </row>
    <row r="23" spans="1:12" ht="58.5" x14ac:dyDescent="0.25">
      <c r="A23" s="33">
        <v>14</v>
      </c>
      <c r="B23" s="31" t="s">
        <v>60</v>
      </c>
      <c r="C23" s="32" t="s">
        <v>61</v>
      </c>
      <c r="D23" s="34">
        <v>38594</v>
      </c>
      <c r="E23" s="35">
        <f t="shared" ca="1" si="0"/>
        <v>21</v>
      </c>
      <c r="F23" s="34">
        <v>45260</v>
      </c>
      <c r="G23" s="31" t="s">
        <v>62</v>
      </c>
      <c r="H23" s="32" t="s">
        <v>63</v>
      </c>
      <c r="I23" s="32" t="s">
        <v>64</v>
      </c>
      <c r="J23" s="36" t="s">
        <v>65</v>
      </c>
      <c r="K23" s="27" t="s">
        <v>24</v>
      </c>
      <c r="L23" s="28" t="s">
        <v>27</v>
      </c>
    </row>
    <row r="24" spans="1:12" ht="19.5" x14ac:dyDescent="0.25">
      <c r="A24" s="33">
        <v>15</v>
      </c>
      <c r="B24" s="31" t="s">
        <v>149</v>
      </c>
      <c r="C24" s="32" t="s">
        <v>150</v>
      </c>
      <c r="D24" s="34">
        <v>37945</v>
      </c>
      <c r="E24" s="35">
        <f t="shared" ca="1" si="0"/>
        <v>23</v>
      </c>
      <c r="F24" s="34"/>
      <c r="G24" s="31"/>
      <c r="H24" s="32"/>
      <c r="I24" s="32"/>
      <c r="J24" s="36"/>
      <c r="K24" s="27"/>
      <c r="L24" s="28"/>
    </row>
    <row r="25" spans="1:12" ht="19.5" x14ac:dyDescent="0.25">
      <c r="A25" s="38">
        <v>16</v>
      </c>
      <c r="B25" s="31" t="s">
        <v>81</v>
      </c>
      <c r="C25" s="32" t="s">
        <v>82</v>
      </c>
      <c r="D25" s="34">
        <v>31229</v>
      </c>
      <c r="E25" s="35">
        <f t="shared" ca="1" si="0"/>
        <v>41</v>
      </c>
      <c r="F25" s="34">
        <v>45260</v>
      </c>
      <c r="G25" s="31" t="s">
        <v>58</v>
      </c>
      <c r="H25" s="32" t="s">
        <v>83</v>
      </c>
      <c r="I25" s="32"/>
      <c r="J25" s="36" t="s">
        <v>88</v>
      </c>
      <c r="K25" s="27" t="s">
        <v>28</v>
      </c>
      <c r="L25" s="28"/>
    </row>
    <row r="26" spans="1:12" ht="19.5" x14ac:dyDescent="0.25">
      <c r="A26" s="33">
        <v>17</v>
      </c>
      <c r="B26" s="31" t="s">
        <v>71</v>
      </c>
      <c r="C26" s="32" t="s">
        <v>72</v>
      </c>
      <c r="D26" s="34">
        <v>28377</v>
      </c>
      <c r="E26" s="35">
        <f t="shared" ca="1" si="0"/>
        <v>49</v>
      </c>
      <c r="F26" s="34">
        <v>45260</v>
      </c>
      <c r="G26" s="31" t="s">
        <v>30</v>
      </c>
      <c r="H26" s="32" t="s">
        <v>73</v>
      </c>
      <c r="I26" s="32"/>
      <c r="J26" s="36" t="s">
        <v>74</v>
      </c>
      <c r="K26" s="27" t="s">
        <v>28</v>
      </c>
      <c r="L26" s="28"/>
    </row>
    <row r="27" spans="1:12" ht="58.5" x14ac:dyDescent="0.25">
      <c r="A27" s="33">
        <v>18</v>
      </c>
      <c r="B27" s="31" t="s">
        <v>147</v>
      </c>
      <c r="C27" s="32" t="s">
        <v>142</v>
      </c>
      <c r="D27" s="34">
        <v>35983</v>
      </c>
      <c r="E27" s="35">
        <f t="shared" ca="1" si="0"/>
        <v>28</v>
      </c>
      <c r="F27" s="34">
        <v>45260</v>
      </c>
      <c r="G27" s="31" t="s">
        <v>143</v>
      </c>
      <c r="H27" s="32" t="s">
        <v>144</v>
      </c>
      <c r="I27" s="32" t="s">
        <v>145</v>
      </c>
      <c r="J27" s="36" t="s">
        <v>146</v>
      </c>
      <c r="K27" s="27" t="s">
        <v>24</v>
      </c>
      <c r="L27" s="28" t="s">
        <v>27</v>
      </c>
    </row>
    <row r="28" spans="1:12" ht="19.5" x14ac:dyDescent="0.25">
      <c r="A28" s="38">
        <v>19</v>
      </c>
      <c r="B28" s="31" t="s">
        <v>137</v>
      </c>
      <c r="C28" s="32" t="s">
        <v>138</v>
      </c>
      <c r="D28" s="34">
        <v>31388</v>
      </c>
      <c r="E28" s="35">
        <f t="shared" ca="1" si="0"/>
        <v>41</v>
      </c>
      <c r="F28" s="34">
        <v>45260</v>
      </c>
      <c r="G28" s="31" t="s">
        <v>87</v>
      </c>
      <c r="H28" s="32" t="s">
        <v>139</v>
      </c>
      <c r="I28" s="32" t="s">
        <v>140</v>
      </c>
      <c r="J28" s="36" t="s">
        <v>141</v>
      </c>
      <c r="K28" s="27" t="s">
        <v>59</v>
      </c>
      <c r="L28" s="28"/>
    </row>
    <row r="29" spans="1:12" ht="97.5" x14ac:dyDescent="0.25">
      <c r="A29" s="33">
        <v>20</v>
      </c>
      <c r="B29" s="31" t="s">
        <v>75</v>
      </c>
      <c r="C29" s="32" t="s">
        <v>76</v>
      </c>
      <c r="D29" s="34">
        <v>33714</v>
      </c>
      <c r="E29" s="35">
        <f t="shared" ca="1" si="0"/>
        <v>34</v>
      </c>
      <c r="F29" s="34">
        <v>45260</v>
      </c>
      <c r="G29" s="31" t="s">
        <v>25</v>
      </c>
      <c r="H29" s="32" t="s">
        <v>77</v>
      </c>
      <c r="I29" s="32"/>
      <c r="J29" s="36" t="s">
        <v>78</v>
      </c>
      <c r="K29" s="27" t="s">
        <v>29</v>
      </c>
      <c r="L29" s="28" t="s">
        <v>31</v>
      </c>
    </row>
    <row r="30" spans="1:12" ht="78" x14ac:dyDescent="0.25">
      <c r="A30" s="33">
        <v>21</v>
      </c>
      <c r="B30" s="31" t="s">
        <v>41</v>
      </c>
      <c r="C30" s="32" t="s">
        <v>42</v>
      </c>
      <c r="D30" s="34">
        <v>30251</v>
      </c>
      <c r="E30" s="35">
        <f t="shared" ca="1" si="0"/>
        <v>44</v>
      </c>
      <c r="F30" s="34">
        <v>45260</v>
      </c>
      <c r="G30" s="31" t="s">
        <v>89</v>
      </c>
      <c r="H30" s="32" t="s">
        <v>43</v>
      </c>
      <c r="I30" s="32"/>
      <c r="J30" s="36" t="s">
        <v>45</v>
      </c>
      <c r="K30" s="27" t="s">
        <v>29</v>
      </c>
      <c r="L30" s="28" t="s">
        <v>46</v>
      </c>
    </row>
    <row r="31" spans="1:12" ht="58.5" x14ac:dyDescent="0.25">
      <c r="A31" s="38">
        <v>22</v>
      </c>
      <c r="B31" s="31" t="s">
        <v>79</v>
      </c>
      <c r="C31" s="32" t="s">
        <v>80</v>
      </c>
      <c r="D31" s="34">
        <v>35440</v>
      </c>
      <c r="E31" s="35">
        <f t="shared" ca="1" si="0"/>
        <v>29</v>
      </c>
      <c r="F31" s="34">
        <v>45260</v>
      </c>
      <c r="G31" s="37" t="s">
        <v>36</v>
      </c>
      <c r="H31" s="32" t="s">
        <v>85</v>
      </c>
      <c r="I31" s="32"/>
      <c r="J31" s="36" t="s">
        <v>86</v>
      </c>
      <c r="K31" s="27" t="s">
        <v>29</v>
      </c>
      <c r="L31" s="28" t="s">
        <v>27</v>
      </c>
    </row>
    <row r="32" spans="1:12" ht="78" x14ac:dyDescent="0.25">
      <c r="A32" s="33">
        <v>23</v>
      </c>
      <c r="B32" s="31" t="s">
        <v>106</v>
      </c>
      <c r="C32" s="32" t="s">
        <v>107</v>
      </c>
      <c r="D32" s="34">
        <v>23917</v>
      </c>
      <c r="E32" s="35">
        <f t="shared" ca="1" si="0"/>
        <v>61</v>
      </c>
      <c r="F32" s="34">
        <v>45260</v>
      </c>
      <c r="G32" s="37" t="s">
        <v>112</v>
      </c>
      <c r="H32" s="32" t="s">
        <v>113</v>
      </c>
      <c r="I32" s="32"/>
      <c r="J32" s="36" t="s">
        <v>114</v>
      </c>
      <c r="K32" s="27" t="s">
        <v>24</v>
      </c>
      <c r="L32" s="28" t="s">
        <v>127</v>
      </c>
    </row>
    <row r="33" spans="1:12" ht="97.5" x14ac:dyDescent="0.25">
      <c r="A33" s="33">
        <v>24</v>
      </c>
      <c r="B33" s="31" t="s">
        <v>34</v>
      </c>
      <c r="C33" s="32" t="s">
        <v>35</v>
      </c>
      <c r="D33" s="34">
        <v>26845</v>
      </c>
      <c r="E33" s="35">
        <f t="shared" ca="1" si="0"/>
        <v>53</v>
      </c>
      <c r="F33" s="34">
        <v>45260</v>
      </c>
      <c r="G33" s="31" t="s">
        <v>36</v>
      </c>
      <c r="H33" s="32" t="s">
        <v>44</v>
      </c>
      <c r="I33" s="32"/>
      <c r="J33" s="36" t="s">
        <v>37</v>
      </c>
      <c r="K33" s="27" t="s">
        <v>29</v>
      </c>
      <c r="L33" s="28" t="s">
        <v>123</v>
      </c>
    </row>
  </sheetData>
  <mergeCells count="2">
    <mergeCell ref="A2:J2"/>
    <mergeCell ref="H9:I9"/>
  </mergeCells>
  <hyperlinks>
    <hyperlink ref="J33" r:id="rId1"/>
    <hyperlink ref="J30" r:id="rId2"/>
    <hyperlink ref="J19" r:id="rId3"/>
    <hyperlink ref="J16" r:id="rId4"/>
    <hyperlink ref="J23" r:id="rId5"/>
    <hyperlink ref="J10" r:id="rId6"/>
    <hyperlink ref="J26" r:id="rId7"/>
    <hyperlink ref="J29" r:id="rId8"/>
    <hyperlink ref="J31" r:id="rId9"/>
    <hyperlink ref="J25" r:id="rId10"/>
    <hyperlink ref="J14" r:id="rId11"/>
    <hyperlink ref="J22" r:id="rId12"/>
    <hyperlink ref="J13" r:id="rId13"/>
    <hyperlink ref="J12" r:id="rId14"/>
    <hyperlink ref="J21" r:id="rId15"/>
    <hyperlink ref="J32" r:id="rId16"/>
    <hyperlink ref="J17" r:id="rId17"/>
    <hyperlink ref="J11" r:id="rId18"/>
    <hyperlink ref="J20" r:id="rId19"/>
    <hyperlink ref="J18" r:id="rId20"/>
    <hyperlink ref="J15" r:id="rId21"/>
    <hyperlink ref="J28" r:id="rId22"/>
    <hyperlink ref="J27" r:id="rId23"/>
  </hyperlinks>
  <pageMargins left="0.7" right="0.7" top="0.75" bottom="0.75" header="0.3" footer="0.3"/>
  <pageSetup paperSize="9" orientation="portrait" horizontalDpi="360" verticalDpi="360"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L33"/>
  <sheetViews>
    <sheetView zoomScale="78" zoomScaleNormal="78" workbookViewId="0">
      <selection activeCell="B24" sqref="B24"/>
    </sheetView>
  </sheetViews>
  <sheetFormatPr baseColWidth="10" defaultRowHeight="15" x14ac:dyDescent="0.25"/>
  <cols>
    <col min="1" max="1" width="8.140625" customWidth="1"/>
    <col min="2" max="2" width="59.42578125" bestFit="1" customWidth="1"/>
    <col min="3" max="3" width="21.7109375" customWidth="1"/>
    <col min="4" max="4" width="15" customWidth="1"/>
    <col min="5" max="5" width="11.42578125" customWidth="1"/>
    <col min="6" max="6" width="15.5703125" customWidth="1"/>
    <col min="7" max="7" width="16.140625" customWidth="1"/>
    <col min="8" max="8" width="16.5703125" customWidth="1"/>
    <col min="9" max="9" width="18.5703125" customWidth="1"/>
    <col min="10" max="10" width="32.42578125" customWidth="1"/>
    <col min="11" max="11" width="19" customWidth="1"/>
    <col min="12" max="12" width="28" customWidth="1"/>
  </cols>
  <sheetData>
    <row r="1" spans="1:12" ht="16.5" x14ac:dyDescent="0.3">
      <c r="A1" s="1"/>
      <c r="B1" s="2"/>
      <c r="C1" s="3"/>
      <c r="D1" s="3"/>
      <c r="E1" s="3"/>
      <c r="F1" s="4"/>
      <c r="G1" s="5"/>
      <c r="H1" s="3"/>
      <c r="I1" s="3"/>
      <c r="J1" s="4"/>
      <c r="K1" s="24"/>
      <c r="L1" s="24"/>
    </row>
    <row r="2" spans="1:12" x14ac:dyDescent="0.25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24"/>
      <c r="L2" s="24"/>
    </row>
    <row r="3" spans="1:12" x14ac:dyDescent="0.2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24"/>
      <c r="L3" s="24"/>
    </row>
    <row r="4" spans="1:12" x14ac:dyDescent="0.25">
      <c r="A4" s="7"/>
      <c r="B4" s="7"/>
      <c r="C4" s="7"/>
      <c r="D4" s="8"/>
      <c r="E4" s="7"/>
      <c r="F4" s="9"/>
      <c r="G4" s="9"/>
      <c r="H4" s="10"/>
      <c r="I4" s="10"/>
      <c r="J4" s="9"/>
      <c r="K4" s="24"/>
      <c r="L4" s="24"/>
    </row>
    <row r="5" spans="1:12" x14ac:dyDescent="0.25">
      <c r="A5" s="7"/>
      <c r="B5" s="7"/>
      <c r="C5" s="7"/>
      <c r="D5" s="7"/>
      <c r="E5" s="8"/>
      <c r="F5" s="9"/>
      <c r="G5" s="9"/>
      <c r="H5" s="10"/>
      <c r="I5" s="10"/>
      <c r="J5" s="9"/>
      <c r="K5" s="24"/>
      <c r="L5" s="24"/>
    </row>
    <row r="6" spans="1:12" x14ac:dyDescent="0.25">
      <c r="A6" s="11" t="s">
        <v>2</v>
      </c>
      <c r="B6" s="11"/>
      <c r="C6" s="7" t="s">
        <v>33</v>
      </c>
      <c r="D6" s="7"/>
      <c r="E6" s="7"/>
      <c r="F6" s="10"/>
      <c r="G6" s="9"/>
      <c r="H6" s="10"/>
      <c r="I6" s="10"/>
      <c r="J6" s="9"/>
      <c r="K6" s="24"/>
      <c r="L6" s="24"/>
    </row>
    <row r="7" spans="1:12" x14ac:dyDescent="0.25">
      <c r="A7" s="11" t="s">
        <v>3</v>
      </c>
      <c r="B7" s="11"/>
      <c r="C7" s="7" t="s">
        <v>4</v>
      </c>
      <c r="D7" s="7"/>
      <c r="E7" s="7"/>
      <c r="F7" s="9"/>
      <c r="G7" s="9"/>
      <c r="H7" s="10"/>
      <c r="I7" s="10"/>
      <c r="J7" s="9"/>
      <c r="K7" s="24"/>
      <c r="L7" s="24"/>
    </row>
    <row r="8" spans="1:12" ht="15.75" thickBot="1" x14ac:dyDescent="0.3">
      <c r="A8" s="11" t="s">
        <v>5</v>
      </c>
      <c r="B8" s="11"/>
      <c r="C8" s="7" t="s">
        <v>6</v>
      </c>
      <c r="D8" s="7"/>
      <c r="E8" s="7"/>
      <c r="F8" s="12"/>
      <c r="G8" s="12"/>
      <c r="H8" s="13"/>
      <c r="I8" s="13"/>
      <c r="J8" s="12"/>
      <c r="K8" s="24"/>
      <c r="L8" s="24"/>
    </row>
    <row r="9" spans="1:12" ht="57.75" customHeight="1" thickBot="1" x14ac:dyDescent="0.3">
      <c r="A9" s="42" t="s">
        <v>7</v>
      </c>
      <c r="B9" s="14" t="s">
        <v>8</v>
      </c>
      <c r="C9" s="14" t="s">
        <v>9</v>
      </c>
      <c r="D9" s="14" t="s">
        <v>10</v>
      </c>
      <c r="E9" s="14" t="s">
        <v>11</v>
      </c>
      <c r="F9" s="14" t="s">
        <v>12</v>
      </c>
      <c r="G9" s="15" t="s">
        <v>13</v>
      </c>
      <c r="H9" s="99" t="s">
        <v>14</v>
      </c>
      <c r="I9" s="100"/>
      <c r="J9" s="17" t="s">
        <v>18</v>
      </c>
      <c r="K9" s="16" t="s">
        <v>20</v>
      </c>
      <c r="L9" s="26" t="s">
        <v>21</v>
      </c>
    </row>
    <row r="10" spans="1:12" ht="97.5" x14ac:dyDescent="0.25">
      <c r="A10" s="38">
        <v>1</v>
      </c>
      <c r="B10" s="18" t="s">
        <v>67</v>
      </c>
      <c r="C10" s="19" t="s">
        <v>68</v>
      </c>
      <c r="D10" s="20">
        <v>22508</v>
      </c>
      <c r="E10" s="21">
        <f t="shared" ref="E10:E33" ca="1" si="0">YEAR(TODAY())-YEAR(D10)</f>
        <v>65</v>
      </c>
      <c r="F10" s="20">
        <v>45258</v>
      </c>
      <c r="G10" s="18" t="s">
        <v>25</v>
      </c>
      <c r="H10" s="19" t="s">
        <v>69</v>
      </c>
      <c r="I10" s="19"/>
      <c r="J10" s="30" t="s">
        <v>70</v>
      </c>
      <c r="K10" s="22" t="s">
        <v>24</v>
      </c>
      <c r="L10" s="39" t="s">
        <v>128</v>
      </c>
    </row>
    <row r="11" spans="1:12" ht="58.5" x14ac:dyDescent="0.25">
      <c r="A11" s="33">
        <v>2</v>
      </c>
      <c r="B11" s="31" t="s">
        <v>118</v>
      </c>
      <c r="C11" s="32" t="s">
        <v>115</v>
      </c>
      <c r="D11" s="34">
        <v>37782</v>
      </c>
      <c r="E11" s="35">
        <f t="shared" ca="1" si="0"/>
        <v>23</v>
      </c>
      <c r="F11" s="34">
        <v>45260</v>
      </c>
      <c r="G11" s="31" t="s">
        <v>135</v>
      </c>
      <c r="H11" s="32" t="s">
        <v>116</v>
      </c>
      <c r="I11" s="32"/>
      <c r="J11" s="36" t="s">
        <v>117</v>
      </c>
      <c r="K11" s="27" t="s">
        <v>24</v>
      </c>
      <c r="L11" s="28" t="s">
        <v>27</v>
      </c>
    </row>
    <row r="12" spans="1:12" ht="58.5" x14ac:dyDescent="0.25">
      <c r="A12" s="33">
        <v>3</v>
      </c>
      <c r="B12" s="31" t="s">
        <v>99</v>
      </c>
      <c r="C12" s="32" t="s">
        <v>100</v>
      </c>
      <c r="D12" s="34">
        <v>35714</v>
      </c>
      <c r="E12" s="35">
        <f t="shared" ca="1" si="0"/>
        <v>29</v>
      </c>
      <c r="F12" s="34">
        <v>45260</v>
      </c>
      <c r="G12" s="31" t="s">
        <v>58</v>
      </c>
      <c r="H12" s="32" t="s">
        <v>101</v>
      </c>
      <c r="I12" s="32"/>
      <c r="J12" s="36" t="s">
        <v>102</v>
      </c>
      <c r="K12" s="27" t="s">
        <v>24</v>
      </c>
      <c r="L12" s="28" t="s">
        <v>27</v>
      </c>
    </row>
    <row r="13" spans="1:12" ht="19.5" x14ac:dyDescent="0.25">
      <c r="A13" s="38">
        <v>4</v>
      </c>
      <c r="B13" s="31" t="s">
        <v>39</v>
      </c>
      <c r="C13" s="32" t="s">
        <v>40</v>
      </c>
      <c r="D13" s="34">
        <v>35875</v>
      </c>
      <c r="E13" s="35">
        <f t="shared" ca="1" si="0"/>
        <v>28</v>
      </c>
      <c r="F13" s="34">
        <v>45260</v>
      </c>
      <c r="G13" s="31" t="s">
        <v>25</v>
      </c>
      <c r="H13" s="32" t="s">
        <v>97</v>
      </c>
      <c r="I13" s="32"/>
      <c r="J13" s="36" t="s">
        <v>98</v>
      </c>
      <c r="K13" s="27" t="s">
        <v>28</v>
      </c>
      <c r="L13" s="28"/>
    </row>
    <row r="14" spans="1:12" ht="97.5" x14ac:dyDescent="0.25">
      <c r="A14" s="33">
        <v>5</v>
      </c>
      <c r="B14" s="31" t="s">
        <v>129</v>
      </c>
      <c r="C14" s="32" t="s">
        <v>90</v>
      </c>
      <c r="D14" s="34">
        <v>32445</v>
      </c>
      <c r="E14" s="35">
        <f t="shared" ca="1" si="0"/>
        <v>38</v>
      </c>
      <c r="F14" s="34">
        <v>45260</v>
      </c>
      <c r="G14" s="31" t="s">
        <v>91</v>
      </c>
      <c r="H14" s="32" t="s">
        <v>92</v>
      </c>
      <c r="I14" s="32"/>
      <c r="J14" s="36" t="s">
        <v>93</v>
      </c>
      <c r="K14" s="27" t="s">
        <v>24</v>
      </c>
      <c r="L14" s="28" t="s">
        <v>123</v>
      </c>
    </row>
    <row r="15" spans="1:12" ht="58.5" x14ac:dyDescent="0.25">
      <c r="A15" s="33">
        <v>6</v>
      </c>
      <c r="B15" s="31" t="s">
        <v>66</v>
      </c>
      <c r="C15" s="32" t="s">
        <v>32</v>
      </c>
      <c r="D15" s="34">
        <v>35325</v>
      </c>
      <c r="E15" s="35">
        <f t="shared" ca="1" si="0"/>
        <v>30</v>
      </c>
      <c r="F15" s="34">
        <v>45260</v>
      </c>
      <c r="G15" s="31" t="s">
        <v>58</v>
      </c>
      <c r="H15" s="32" t="s">
        <v>130</v>
      </c>
      <c r="I15" s="32"/>
      <c r="J15" s="36" t="s">
        <v>131</v>
      </c>
      <c r="K15" s="27" t="s">
        <v>24</v>
      </c>
      <c r="L15" s="28" t="s">
        <v>27</v>
      </c>
    </row>
    <row r="16" spans="1:12" ht="19.5" x14ac:dyDescent="0.25">
      <c r="A16" s="38">
        <v>7</v>
      </c>
      <c r="B16" s="31" t="s">
        <v>52</v>
      </c>
      <c r="C16" s="32" t="s">
        <v>53</v>
      </c>
      <c r="D16" s="34">
        <v>34422</v>
      </c>
      <c r="E16" s="35">
        <f t="shared" ca="1" si="0"/>
        <v>32</v>
      </c>
      <c r="F16" s="34">
        <v>45259</v>
      </c>
      <c r="G16" s="31" t="s">
        <v>25</v>
      </c>
      <c r="H16" s="32" t="s">
        <v>54</v>
      </c>
      <c r="I16" s="32" t="s">
        <v>55</v>
      </c>
      <c r="J16" s="36" t="s">
        <v>56</v>
      </c>
      <c r="K16" s="27" t="s">
        <v>28</v>
      </c>
      <c r="L16" s="28"/>
    </row>
    <row r="17" spans="1:12" ht="58.5" x14ac:dyDescent="0.25">
      <c r="A17" s="33">
        <v>8</v>
      </c>
      <c r="B17" s="31" t="s">
        <v>108</v>
      </c>
      <c r="C17" s="32" t="s">
        <v>109</v>
      </c>
      <c r="D17" s="34">
        <v>38675</v>
      </c>
      <c r="E17" s="35">
        <f t="shared" ca="1" si="0"/>
        <v>21</v>
      </c>
      <c r="F17" s="34">
        <v>45260</v>
      </c>
      <c r="G17" s="31" t="s">
        <v>136</v>
      </c>
      <c r="H17" s="32" t="s">
        <v>110</v>
      </c>
      <c r="I17" s="32"/>
      <c r="J17" s="36" t="s">
        <v>111</v>
      </c>
      <c r="K17" s="27" t="s">
        <v>29</v>
      </c>
      <c r="L17" s="28" t="s">
        <v>27</v>
      </c>
    </row>
    <row r="18" spans="1:12" ht="58.5" x14ac:dyDescent="0.25">
      <c r="A18" s="33">
        <v>9</v>
      </c>
      <c r="B18" s="31" t="s">
        <v>124</v>
      </c>
      <c r="C18" s="32" t="s">
        <v>125</v>
      </c>
      <c r="D18" s="34">
        <v>35273</v>
      </c>
      <c r="E18" s="35">
        <f t="shared" ca="1" si="0"/>
        <v>30</v>
      </c>
      <c r="F18" s="34">
        <v>45260</v>
      </c>
      <c r="G18" s="31" t="s">
        <v>58</v>
      </c>
      <c r="H18" s="32" t="s">
        <v>83</v>
      </c>
      <c r="I18" s="32"/>
      <c r="J18" s="36" t="s">
        <v>126</v>
      </c>
      <c r="K18" s="27" t="s">
        <v>24</v>
      </c>
      <c r="L18" s="28" t="s">
        <v>27</v>
      </c>
    </row>
    <row r="19" spans="1:12" ht="19.5" x14ac:dyDescent="0.25">
      <c r="A19" s="38">
        <v>10</v>
      </c>
      <c r="B19" s="31" t="s">
        <v>48</v>
      </c>
      <c r="C19" s="32" t="s">
        <v>49</v>
      </c>
      <c r="D19" s="34">
        <v>33058</v>
      </c>
      <c r="E19" s="35">
        <f t="shared" ca="1" si="0"/>
        <v>36</v>
      </c>
      <c r="F19" s="34">
        <v>45260</v>
      </c>
      <c r="G19" s="31" t="s">
        <v>87</v>
      </c>
      <c r="H19" s="32" t="s">
        <v>50</v>
      </c>
      <c r="I19" s="32"/>
      <c r="J19" s="36" t="s">
        <v>51</v>
      </c>
      <c r="K19" s="27" t="s">
        <v>28</v>
      </c>
      <c r="L19" s="28"/>
    </row>
    <row r="20" spans="1:12" ht="97.5" x14ac:dyDescent="0.25">
      <c r="A20" s="33">
        <v>11</v>
      </c>
      <c r="B20" s="31" t="s">
        <v>119</v>
      </c>
      <c r="C20" s="32" t="s">
        <v>120</v>
      </c>
      <c r="D20" s="34">
        <v>29500</v>
      </c>
      <c r="E20" s="35">
        <f t="shared" ca="1" si="0"/>
        <v>46</v>
      </c>
      <c r="F20" s="34">
        <v>45260</v>
      </c>
      <c r="G20" s="31" t="s">
        <v>87</v>
      </c>
      <c r="H20" s="32" t="s">
        <v>121</v>
      </c>
      <c r="I20" s="32"/>
      <c r="J20" s="36" t="s">
        <v>122</v>
      </c>
      <c r="K20" s="27" t="s">
        <v>29</v>
      </c>
      <c r="L20" s="28" t="s">
        <v>123</v>
      </c>
    </row>
    <row r="21" spans="1:12" ht="58.5" x14ac:dyDescent="0.25">
      <c r="A21" s="33">
        <v>12</v>
      </c>
      <c r="B21" s="31" t="s">
        <v>103</v>
      </c>
      <c r="C21" s="32" t="s">
        <v>104</v>
      </c>
      <c r="D21" s="34">
        <v>38548</v>
      </c>
      <c r="E21" s="35">
        <f t="shared" ca="1" si="0"/>
        <v>21</v>
      </c>
      <c r="F21" s="34">
        <v>45260</v>
      </c>
      <c r="G21" s="31" t="s">
        <v>25</v>
      </c>
      <c r="H21" s="32" t="s">
        <v>132</v>
      </c>
      <c r="I21" s="32"/>
      <c r="J21" s="36" t="s">
        <v>105</v>
      </c>
      <c r="K21" s="27" t="s">
        <v>24</v>
      </c>
      <c r="L21" s="28" t="s">
        <v>27</v>
      </c>
    </row>
    <row r="22" spans="1:12" ht="58.5" x14ac:dyDescent="0.25">
      <c r="A22" s="38">
        <v>13</v>
      </c>
      <c r="B22" s="31" t="s">
        <v>94</v>
      </c>
      <c r="C22" s="32" t="s">
        <v>84</v>
      </c>
      <c r="D22" s="34">
        <v>38672</v>
      </c>
      <c r="E22" s="35">
        <f t="shared" ca="1" si="0"/>
        <v>21</v>
      </c>
      <c r="F22" s="34">
        <v>45260</v>
      </c>
      <c r="G22" s="31" t="s">
        <v>95</v>
      </c>
      <c r="H22" s="32" t="s">
        <v>134</v>
      </c>
      <c r="I22" s="32" t="s">
        <v>133</v>
      </c>
      <c r="J22" s="36" t="s">
        <v>96</v>
      </c>
      <c r="K22" s="27" t="s">
        <v>24</v>
      </c>
      <c r="L22" s="28" t="s">
        <v>27</v>
      </c>
    </row>
    <row r="23" spans="1:12" ht="58.5" x14ac:dyDescent="0.25">
      <c r="A23" s="33">
        <v>14</v>
      </c>
      <c r="B23" s="31" t="s">
        <v>60</v>
      </c>
      <c r="C23" s="32" t="s">
        <v>61</v>
      </c>
      <c r="D23" s="34">
        <v>38594</v>
      </c>
      <c r="E23" s="35">
        <f t="shared" ca="1" si="0"/>
        <v>21</v>
      </c>
      <c r="F23" s="34">
        <v>45260</v>
      </c>
      <c r="G23" s="31" t="s">
        <v>62</v>
      </c>
      <c r="H23" s="32" t="s">
        <v>63</v>
      </c>
      <c r="I23" s="32" t="s">
        <v>64</v>
      </c>
      <c r="J23" s="36" t="s">
        <v>65</v>
      </c>
      <c r="K23" s="27" t="s">
        <v>24</v>
      </c>
      <c r="L23" s="28" t="s">
        <v>27</v>
      </c>
    </row>
    <row r="24" spans="1:12" ht="19.5" x14ac:dyDescent="0.25">
      <c r="A24" s="33">
        <v>15</v>
      </c>
      <c r="B24" s="31" t="s">
        <v>149</v>
      </c>
      <c r="C24" s="32" t="s">
        <v>150</v>
      </c>
      <c r="D24" s="34">
        <v>37945</v>
      </c>
      <c r="E24" s="35">
        <f t="shared" ca="1" si="0"/>
        <v>23</v>
      </c>
      <c r="F24" s="34"/>
      <c r="G24" s="31"/>
      <c r="H24" s="32"/>
      <c r="I24" s="32"/>
      <c r="J24" s="36"/>
      <c r="K24" s="27"/>
      <c r="L24" s="28"/>
    </row>
    <row r="25" spans="1:12" ht="19.5" x14ac:dyDescent="0.25">
      <c r="A25" s="38">
        <v>16</v>
      </c>
      <c r="B25" s="31" t="s">
        <v>81</v>
      </c>
      <c r="C25" s="32" t="s">
        <v>82</v>
      </c>
      <c r="D25" s="34">
        <v>31229</v>
      </c>
      <c r="E25" s="35">
        <f t="shared" ca="1" si="0"/>
        <v>41</v>
      </c>
      <c r="F25" s="34">
        <v>45260</v>
      </c>
      <c r="G25" s="31" t="s">
        <v>58</v>
      </c>
      <c r="H25" s="32" t="s">
        <v>83</v>
      </c>
      <c r="I25" s="32"/>
      <c r="J25" s="36" t="s">
        <v>88</v>
      </c>
      <c r="K25" s="27" t="s">
        <v>28</v>
      </c>
      <c r="L25" s="28"/>
    </row>
    <row r="26" spans="1:12" ht="19.5" x14ac:dyDescent="0.25">
      <c r="A26" s="33">
        <v>17</v>
      </c>
      <c r="B26" s="31" t="s">
        <v>71</v>
      </c>
      <c r="C26" s="32" t="s">
        <v>72</v>
      </c>
      <c r="D26" s="34">
        <v>28377</v>
      </c>
      <c r="E26" s="35">
        <f t="shared" ca="1" si="0"/>
        <v>49</v>
      </c>
      <c r="F26" s="34">
        <v>45260</v>
      </c>
      <c r="G26" s="31" t="s">
        <v>30</v>
      </c>
      <c r="H26" s="32" t="s">
        <v>73</v>
      </c>
      <c r="I26" s="32"/>
      <c r="J26" s="36" t="s">
        <v>74</v>
      </c>
      <c r="K26" s="27" t="s">
        <v>28</v>
      </c>
      <c r="L26" s="28"/>
    </row>
    <row r="27" spans="1:12" ht="58.5" x14ac:dyDescent="0.25">
      <c r="A27" s="33">
        <v>18</v>
      </c>
      <c r="B27" s="31" t="s">
        <v>147</v>
      </c>
      <c r="C27" s="32" t="s">
        <v>142</v>
      </c>
      <c r="D27" s="34">
        <v>35983</v>
      </c>
      <c r="E27" s="35">
        <f t="shared" ca="1" si="0"/>
        <v>28</v>
      </c>
      <c r="F27" s="34">
        <v>45260</v>
      </c>
      <c r="G27" s="31" t="s">
        <v>143</v>
      </c>
      <c r="H27" s="32" t="s">
        <v>144</v>
      </c>
      <c r="I27" s="32" t="s">
        <v>145</v>
      </c>
      <c r="J27" s="36" t="s">
        <v>146</v>
      </c>
      <c r="K27" s="27" t="s">
        <v>24</v>
      </c>
      <c r="L27" s="28" t="s">
        <v>27</v>
      </c>
    </row>
    <row r="28" spans="1:12" ht="19.5" x14ac:dyDescent="0.25">
      <c r="A28" s="38">
        <v>19</v>
      </c>
      <c r="B28" s="31" t="s">
        <v>137</v>
      </c>
      <c r="C28" s="32" t="s">
        <v>138</v>
      </c>
      <c r="D28" s="34">
        <v>31388</v>
      </c>
      <c r="E28" s="35">
        <f t="shared" ca="1" si="0"/>
        <v>41</v>
      </c>
      <c r="F28" s="34">
        <v>45260</v>
      </c>
      <c r="G28" s="31" t="s">
        <v>87</v>
      </c>
      <c r="H28" s="32" t="s">
        <v>139</v>
      </c>
      <c r="I28" s="32" t="s">
        <v>140</v>
      </c>
      <c r="J28" s="36" t="s">
        <v>141</v>
      </c>
      <c r="K28" s="27" t="s">
        <v>59</v>
      </c>
      <c r="L28" s="28"/>
    </row>
    <row r="29" spans="1:12" ht="97.5" x14ac:dyDescent="0.25">
      <c r="A29" s="33">
        <v>20</v>
      </c>
      <c r="B29" s="31" t="s">
        <v>75</v>
      </c>
      <c r="C29" s="32" t="s">
        <v>76</v>
      </c>
      <c r="D29" s="34">
        <v>33714</v>
      </c>
      <c r="E29" s="35">
        <f t="shared" ca="1" si="0"/>
        <v>34</v>
      </c>
      <c r="F29" s="34">
        <v>45260</v>
      </c>
      <c r="G29" s="31" t="s">
        <v>25</v>
      </c>
      <c r="H29" s="32" t="s">
        <v>77</v>
      </c>
      <c r="I29" s="32"/>
      <c r="J29" s="36" t="s">
        <v>78</v>
      </c>
      <c r="K29" s="27" t="s">
        <v>29</v>
      </c>
      <c r="L29" s="28" t="s">
        <v>31</v>
      </c>
    </row>
    <row r="30" spans="1:12" ht="78" x14ac:dyDescent="0.25">
      <c r="A30" s="33">
        <v>21</v>
      </c>
      <c r="B30" s="31" t="s">
        <v>41</v>
      </c>
      <c r="C30" s="32" t="s">
        <v>42</v>
      </c>
      <c r="D30" s="34">
        <v>30251</v>
      </c>
      <c r="E30" s="35">
        <f t="shared" ca="1" si="0"/>
        <v>44</v>
      </c>
      <c r="F30" s="34">
        <v>45260</v>
      </c>
      <c r="G30" s="31" t="s">
        <v>89</v>
      </c>
      <c r="H30" s="32" t="s">
        <v>43</v>
      </c>
      <c r="I30" s="32"/>
      <c r="J30" s="36" t="s">
        <v>45</v>
      </c>
      <c r="K30" s="27" t="s">
        <v>29</v>
      </c>
      <c r="L30" s="28" t="s">
        <v>46</v>
      </c>
    </row>
    <row r="31" spans="1:12" ht="58.5" x14ac:dyDescent="0.25">
      <c r="A31" s="38">
        <v>22</v>
      </c>
      <c r="B31" s="31" t="s">
        <v>79</v>
      </c>
      <c r="C31" s="32" t="s">
        <v>80</v>
      </c>
      <c r="D31" s="34">
        <v>35440</v>
      </c>
      <c r="E31" s="35">
        <f t="shared" ca="1" si="0"/>
        <v>29</v>
      </c>
      <c r="F31" s="34">
        <v>45260</v>
      </c>
      <c r="G31" s="37" t="s">
        <v>36</v>
      </c>
      <c r="H31" s="32" t="s">
        <v>85</v>
      </c>
      <c r="I31" s="32"/>
      <c r="J31" s="36" t="s">
        <v>86</v>
      </c>
      <c r="K31" s="27" t="s">
        <v>29</v>
      </c>
      <c r="L31" s="28" t="s">
        <v>27</v>
      </c>
    </row>
    <row r="32" spans="1:12" ht="78" x14ac:dyDescent="0.25">
      <c r="A32" s="33">
        <v>23</v>
      </c>
      <c r="B32" s="31" t="s">
        <v>106</v>
      </c>
      <c r="C32" s="32" t="s">
        <v>107</v>
      </c>
      <c r="D32" s="34">
        <v>23917</v>
      </c>
      <c r="E32" s="35">
        <f t="shared" ca="1" si="0"/>
        <v>61</v>
      </c>
      <c r="F32" s="34">
        <v>45260</v>
      </c>
      <c r="G32" s="37" t="s">
        <v>112</v>
      </c>
      <c r="H32" s="32" t="s">
        <v>113</v>
      </c>
      <c r="I32" s="32"/>
      <c r="J32" s="36" t="s">
        <v>114</v>
      </c>
      <c r="K32" s="27" t="s">
        <v>24</v>
      </c>
      <c r="L32" s="28" t="s">
        <v>127</v>
      </c>
    </row>
    <row r="33" spans="1:12" ht="97.5" x14ac:dyDescent="0.25">
      <c r="A33" s="33">
        <v>24</v>
      </c>
      <c r="B33" s="31" t="s">
        <v>34</v>
      </c>
      <c r="C33" s="32" t="s">
        <v>35</v>
      </c>
      <c r="D33" s="34">
        <v>26845</v>
      </c>
      <c r="E33" s="35">
        <f t="shared" ca="1" si="0"/>
        <v>53</v>
      </c>
      <c r="F33" s="34">
        <v>45260</v>
      </c>
      <c r="G33" s="31" t="s">
        <v>36</v>
      </c>
      <c r="H33" s="32" t="s">
        <v>44</v>
      </c>
      <c r="I33" s="32"/>
      <c r="J33" s="36" t="s">
        <v>37</v>
      </c>
      <c r="K33" s="27" t="s">
        <v>29</v>
      </c>
      <c r="L33" s="28" t="s">
        <v>123</v>
      </c>
    </row>
  </sheetData>
  <mergeCells count="2">
    <mergeCell ref="A2:J2"/>
    <mergeCell ref="H9:I9"/>
  </mergeCells>
  <hyperlinks>
    <hyperlink ref="J33" r:id="rId1"/>
    <hyperlink ref="J30" r:id="rId2"/>
    <hyperlink ref="J19" r:id="rId3"/>
    <hyperlink ref="J16" r:id="rId4"/>
    <hyperlink ref="J23" r:id="rId5"/>
    <hyperlink ref="J10" r:id="rId6"/>
    <hyperlink ref="J26" r:id="rId7"/>
    <hyperlink ref="J29" r:id="rId8"/>
    <hyperlink ref="J31" r:id="rId9"/>
    <hyperlink ref="J25" r:id="rId10"/>
    <hyperlink ref="J14" r:id="rId11"/>
    <hyperlink ref="J22" r:id="rId12"/>
    <hyperlink ref="J13" r:id="rId13"/>
    <hyperlink ref="J12" r:id="rId14"/>
    <hyperlink ref="J21" r:id="rId15"/>
    <hyperlink ref="J32" r:id="rId16"/>
    <hyperlink ref="J17" r:id="rId17"/>
    <hyperlink ref="J11" r:id="rId18"/>
    <hyperlink ref="J20" r:id="rId19"/>
    <hyperlink ref="J18" r:id="rId20"/>
    <hyperlink ref="J15" r:id="rId21"/>
    <hyperlink ref="J28" r:id="rId22"/>
    <hyperlink ref="J27" r:id="rId23"/>
  </hyperlinks>
  <pageMargins left="0.7" right="0.7" top="0.75" bottom="0.75" header="0.3" footer="0.3"/>
  <pageSetup paperSize="9" orientation="portrait" horizontalDpi="360" verticalDpi="360" r:id="rId2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25"/>
  <sheetViews>
    <sheetView workbookViewId="0">
      <selection activeCell="B24" sqref="B24"/>
    </sheetView>
  </sheetViews>
  <sheetFormatPr baseColWidth="10" defaultRowHeight="15" x14ac:dyDescent="0.25"/>
  <cols>
    <col min="1" max="1" width="3.28515625" bestFit="1" customWidth="1"/>
    <col min="2" max="2" width="42.7109375" bestFit="1" customWidth="1"/>
  </cols>
  <sheetData>
    <row r="1" spans="1:3" ht="26.25" customHeight="1" x14ac:dyDescent="0.25">
      <c r="A1" s="106" t="s">
        <v>152</v>
      </c>
      <c r="B1" s="106"/>
      <c r="C1" s="106"/>
    </row>
    <row r="2" spans="1:3" ht="15.75" x14ac:dyDescent="0.25">
      <c r="A2" s="41">
        <v>1</v>
      </c>
      <c r="B2" s="41" t="s">
        <v>67</v>
      </c>
      <c r="C2" s="41"/>
    </row>
    <row r="3" spans="1:3" ht="15.75" x14ac:dyDescent="0.25">
      <c r="A3" s="41">
        <v>2</v>
      </c>
      <c r="B3" s="41" t="s">
        <v>118</v>
      </c>
      <c r="C3" s="41" t="s">
        <v>148</v>
      </c>
    </row>
    <row r="4" spans="1:3" ht="15.75" x14ac:dyDescent="0.25">
      <c r="A4" s="41">
        <v>3</v>
      </c>
      <c r="B4" s="41" t="s">
        <v>99</v>
      </c>
      <c r="C4" s="41"/>
    </row>
    <row r="5" spans="1:3" ht="15.75" x14ac:dyDescent="0.25">
      <c r="A5" s="41">
        <v>4</v>
      </c>
      <c r="B5" s="41" t="s">
        <v>39</v>
      </c>
      <c r="C5" s="41"/>
    </row>
    <row r="6" spans="1:3" ht="15.75" x14ac:dyDescent="0.25">
      <c r="A6" s="41">
        <v>5</v>
      </c>
      <c r="B6" s="41" t="s">
        <v>129</v>
      </c>
      <c r="C6" s="41"/>
    </row>
    <row r="7" spans="1:3" ht="15.75" x14ac:dyDescent="0.25">
      <c r="A7" s="41">
        <v>6</v>
      </c>
      <c r="B7" s="41" t="s">
        <v>66</v>
      </c>
      <c r="C7" s="41"/>
    </row>
    <row r="8" spans="1:3" ht="15.75" x14ac:dyDescent="0.25">
      <c r="A8" s="41">
        <v>7</v>
      </c>
      <c r="B8" s="41" t="s">
        <v>52</v>
      </c>
      <c r="C8" s="41"/>
    </row>
    <row r="9" spans="1:3" ht="15.75" x14ac:dyDescent="0.25">
      <c r="A9" s="41">
        <v>8</v>
      </c>
      <c r="B9" s="41" t="s">
        <v>108</v>
      </c>
      <c r="C9" s="41" t="s">
        <v>47</v>
      </c>
    </row>
    <row r="10" spans="1:3" ht="15.75" x14ac:dyDescent="0.25">
      <c r="A10" s="41">
        <v>9</v>
      </c>
      <c r="B10" s="41" t="s">
        <v>124</v>
      </c>
      <c r="C10" s="41" t="s">
        <v>148</v>
      </c>
    </row>
    <row r="11" spans="1:3" ht="15.75" x14ac:dyDescent="0.25">
      <c r="A11" s="41">
        <v>10</v>
      </c>
      <c r="B11" s="41" t="s">
        <v>48</v>
      </c>
      <c r="C11" s="41" t="s">
        <v>47</v>
      </c>
    </row>
    <row r="12" spans="1:3" ht="15.75" x14ac:dyDescent="0.25">
      <c r="A12" s="41">
        <v>11</v>
      </c>
      <c r="B12" s="41" t="s">
        <v>119</v>
      </c>
      <c r="C12" s="41" t="s">
        <v>148</v>
      </c>
    </row>
    <row r="13" spans="1:3" ht="15.75" x14ac:dyDescent="0.25">
      <c r="A13" s="41">
        <v>12</v>
      </c>
      <c r="B13" s="41" t="s">
        <v>103</v>
      </c>
      <c r="C13" s="41"/>
    </row>
    <row r="14" spans="1:3" ht="15.75" x14ac:dyDescent="0.25">
      <c r="A14" s="41">
        <v>13</v>
      </c>
      <c r="B14" s="41" t="s">
        <v>94</v>
      </c>
      <c r="C14" s="41"/>
    </row>
    <row r="15" spans="1:3" ht="15.75" x14ac:dyDescent="0.25">
      <c r="A15" s="41">
        <v>14</v>
      </c>
      <c r="B15" s="41" t="s">
        <v>60</v>
      </c>
      <c r="C15" s="41"/>
    </row>
    <row r="16" spans="1:3" ht="15.75" x14ac:dyDescent="0.25">
      <c r="A16" s="41">
        <v>15</v>
      </c>
      <c r="B16" s="41" t="s">
        <v>81</v>
      </c>
      <c r="C16" s="41"/>
    </row>
    <row r="17" spans="1:3" ht="15.75" x14ac:dyDescent="0.25">
      <c r="A17" s="41">
        <v>16</v>
      </c>
      <c r="B17" s="41" t="s">
        <v>71</v>
      </c>
      <c r="C17" s="41"/>
    </row>
    <row r="18" spans="1:3" ht="15.75" x14ac:dyDescent="0.25">
      <c r="A18" s="41">
        <v>17</v>
      </c>
      <c r="B18" s="41" t="s">
        <v>147</v>
      </c>
      <c r="C18" s="41"/>
    </row>
    <row r="19" spans="1:3" ht="15.75" x14ac:dyDescent="0.25">
      <c r="A19" s="41">
        <v>18</v>
      </c>
      <c r="B19" s="41" t="s">
        <v>137</v>
      </c>
      <c r="C19" s="41"/>
    </row>
    <row r="20" spans="1:3" ht="15.75" x14ac:dyDescent="0.25">
      <c r="A20" s="41">
        <v>19</v>
      </c>
      <c r="B20" s="41" t="s">
        <v>75</v>
      </c>
      <c r="C20" s="41" t="s">
        <v>47</v>
      </c>
    </row>
    <row r="21" spans="1:3" ht="15.75" x14ac:dyDescent="0.25">
      <c r="A21" s="41">
        <v>20</v>
      </c>
      <c r="B21" s="41" t="s">
        <v>41</v>
      </c>
      <c r="C21" s="41" t="s">
        <v>47</v>
      </c>
    </row>
    <row r="22" spans="1:3" ht="15.75" x14ac:dyDescent="0.25">
      <c r="A22" s="41">
        <v>21</v>
      </c>
      <c r="B22" s="41" t="s">
        <v>79</v>
      </c>
      <c r="C22" s="41"/>
    </row>
    <row r="23" spans="1:3" ht="15.75" x14ac:dyDescent="0.25">
      <c r="A23" s="41">
        <v>22</v>
      </c>
      <c r="B23" s="41" t="s">
        <v>106</v>
      </c>
      <c r="C23" s="41" t="s">
        <v>47</v>
      </c>
    </row>
    <row r="24" spans="1:3" ht="15.75" x14ac:dyDescent="0.25">
      <c r="A24" s="41">
        <v>23</v>
      </c>
      <c r="B24" s="41" t="s">
        <v>34</v>
      </c>
      <c r="C24" s="41"/>
    </row>
    <row r="25" spans="1:3" ht="15.75" x14ac:dyDescent="0.25">
      <c r="A25" s="41">
        <v>24</v>
      </c>
      <c r="B25" s="41" t="s">
        <v>57</v>
      </c>
      <c r="C25" s="41" t="s">
        <v>151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DAIC 019 2026</vt:lpstr>
      <vt:lpstr>BIOMETRICO</vt:lpstr>
      <vt:lpstr>EXÁMENES </vt:lpstr>
      <vt:lpstr>PLATAFORMA</vt:lpstr>
      <vt:lpstr>PLATAFORMA (2)</vt:lpstr>
      <vt:lpstr>TEORIA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2026-07-14T21:03:59Z</cp:lastPrinted>
  <dcterms:created xsi:type="dcterms:W3CDTF">2023-10-19T15:32:00Z</dcterms:created>
  <dcterms:modified xsi:type="dcterms:W3CDTF">2026-07-31T16:19:31Z</dcterms:modified>
</cp:coreProperties>
</file>