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ATY\2026\"/>
    </mc:Choice>
  </mc:AlternateContent>
  <bookViews>
    <workbookView xWindow="0" yWindow="0" windowWidth="20460" windowHeight="7620"/>
  </bookViews>
  <sheets>
    <sheet name="ficha" sheetId="1" r:id="rId1"/>
    <sheet name="acuerdo" sheetId="3" r:id="rId2"/>
    <sheet name="formulas" sheetId="5" r:id="rId3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5" l="1"/>
  <c r="F2" i="5" l="1"/>
  <c r="C3" i="5" l="1"/>
  <c r="F3" i="5"/>
  <c r="I3" i="5"/>
  <c r="J3" i="5" s="1"/>
  <c r="C4" i="5"/>
  <c r="F4" i="5"/>
  <c r="I4" i="5"/>
  <c r="J4" i="5" s="1"/>
  <c r="C5" i="5"/>
  <c r="F5" i="5"/>
  <c r="I5" i="5"/>
  <c r="J5" i="5" s="1"/>
  <c r="C6" i="5"/>
  <c r="F6" i="5"/>
  <c r="I6" i="5"/>
  <c r="J6" i="5" s="1"/>
  <c r="C7" i="5"/>
  <c r="F7" i="5"/>
  <c r="I7" i="5"/>
  <c r="J7" i="5" s="1"/>
  <c r="C8" i="5"/>
  <c r="F8" i="5"/>
  <c r="I8" i="5"/>
  <c r="J8" i="5" s="1"/>
  <c r="C9" i="5"/>
  <c r="F9" i="5"/>
  <c r="I9" i="5"/>
  <c r="J9" i="5" s="1"/>
  <c r="C10" i="5"/>
  <c r="F10" i="5"/>
  <c r="I10" i="5"/>
  <c r="J10" i="5" s="1"/>
  <c r="C11" i="5"/>
  <c r="F11" i="5"/>
  <c r="I11" i="5"/>
  <c r="J11" i="5" s="1"/>
  <c r="C12" i="5"/>
  <c r="F12" i="5"/>
  <c r="I12" i="5"/>
  <c r="J12" i="5" s="1"/>
  <c r="F22" i="5" l="1"/>
  <c r="I22" i="5"/>
  <c r="J22" i="5" s="1"/>
  <c r="F23" i="5"/>
  <c r="I23" i="5"/>
  <c r="J23" i="5" s="1"/>
  <c r="F24" i="5"/>
  <c r="I24" i="5"/>
  <c r="J24" i="5" s="1"/>
  <c r="C22" i="5"/>
  <c r="C23" i="5"/>
  <c r="C24" i="5"/>
  <c r="I20" i="5" l="1"/>
  <c r="J20" i="5" s="1"/>
  <c r="F20" i="5"/>
  <c r="C20" i="5" l="1"/>
  <c r="C21" i="5"/>
  <c r="C15" i="5" l="1"/>
  <c r="F15" i="5"/>
  <c r="I15" i="5"/>
  <c r="J15" i="5" s="1"/>
  <c r="C16" i="5"/>
  <c r="F16" i="5"/>
  <c r="I16" i="5"/>
  <c r="J16" i="5" s="1"/>
  <c r="C17" i="5"/>
  <c r="F17" i="5"/>
  <c r="I17" i="5"/>
  <c r="J17" i="5" s="1"/>
  <c r="C18" i="5"/>
  <c r="F18" i="5"/>
  <c r="I18" i="5"/>
  <c r="J18" i="5" s="1"/>
  <c r="C19" i="5"/>
  <c r="F19" i="5"/>
  <c r="I19" i="5"/>
  <c r="J19" i="5" s="1"/>
  <c r="F21" i="5"/>
  <c r="I21" i="5"/>
  <c r="J21" i="5" s="1"/>
  <c r="F14" i="5" l="1"/>
  <c r="F13" i="5"/>
  <c r="C14" i="5" l="1"/>
  <c r="I14" i="5"/>
  <c r="J14" i="5" s="1"/>
  <c r="I2" i="5" l="1"/>
  <c r="I13" i="5"/>
  <c r="J13" i="5" s="1"/>
  <c r="C13" i="5"/>
  <c r="C2" i="5" l="1"/>
</calcChain>
</file>

<file path=xl/sharedStrings.xml><?xml version="1.0" encoding="utf-8"?>
<sst xmlns="http://schemas.openxmlformats.org/spreadsheetml/2006/main" count="392" uniqueCount="192">
  <si>
    <t>CURSO</t>
  </si>
  <si>
    <t>NOMBRES</t>
  </si>
  <si>
    <t>CEDULA</t>
  </si>
  <si>
    <t>NACIONALIDAD</t>
  </si>
  <si>
    <t>SANGRE</t>
  </si>
  <si>
    <t>FECHA</t>
  </si>
  <si>
    <t>DIRECCION</t>
  </si>
  <si>
    <t>CELULAR</t>
  </si>
  <si>
    <t>CORREO</t>
  </si>
  <si>
    <t>fecha</t>
  </si>
  <si>
    <t>fecha de nacimiento</t>
  </si>
  <si>
    <t>telefonos</t>
  </si>
  <si>
    <t>fecha matricula</t>
  </si>
  <si>
    <t>Quito</t>
  </si>
  <si>
    <t>PRACTICA</t>
  </si>
  <si>
    <t>TEORIA</t>
  </si>
  <si>
    <t>IN M</t>
  </si>
  <si>
    <t>FIN M</t>
  </si>
  <si>
    <t>INICIO C</t>
  </si>
  <si>
    <t>FIN C</t>
  </si>
  <si>
    <t>ECUATORIANA</t>
  </si>
  <si>
    <t>ORH+</t>
  </si>
  <si>
    <t>ARH+</t>
  </si>
  <si>
    <t>08H00-10H00</t>
  </si>
  <si>
    <t>16H00-18H00</t>
  </si>
  <si>
    <t>12H00-14H00</t>
  </si>
  <si>
    <t>20H00-22H00</t>
  </si>
  <si>
    <t>10H00-12H00</t>
  </si>
  <si>
    <t>14H00-16H00</t>
  </si>
  <si>
    <t>ABRH+</t>
  </si>
  <si>
    <t>CONDADO</t>
  </si>
  <si>
    <t>COLOMBIANA</t>
  </si>
  <si>
    <t>VENEZOLANA</t>
  </si>
  <si>
    <t>POMASQUI</t>
  </si>
  <si>
    <t xml:space="preserve">ATUCUCHO </t>
  </si>
  <si>
    <t xml:space="preserve">COLINAS DEL NORTE </t>
  </si>
  <si>
    <t>18H00-20H00</t>
  </si>
  <si>
    <t>0992505946</t>
  </si>
  <si>
    <t>0958850580</t>
  </si>
  <si>
    <t>0993791860</t>
  </si>
  <si>
    <t>0990744804</t>
  </si>
  <si>
    <t>0961115194</t>
  </si>
  <si>
    <t>0997456983</t>
  </si>
  <si>
    <t>0995743697</t>
  </si>
  <si>
    <t>0991258343</t>
  </si>
  <si>
    <t>0985207371</t>
  </si>
  <si>
    <t>0982315438</t>
  </si>
  <si>
    <t>0989058927</t>
  </si>
  <si>
    <t>0992240450</t>
  </si>
  <si>
    <t>0995713566</t>
  </si>
  <si>
    <t>0997416547</t>
  </si>
  <si>
    <t>0962098670</t>
  </si>
  <si>
    <t>0997874124</t>
  </si>
  <si>
    <t>0997426549</t>
  </si>
  <si>
    <t>0968648105</t>
  </si>
  <si>
    <t>0997413597</t>
  </si>
  <si>
    <t>0995741356</t>
  </si>
  <si>
    <t>0997484977</t>
  </si>
  <si>
    <t>0983494803</t>
  </si>
  <si>
    <t>0982063595</t>
  </si>
  <si>
    <t>0961021278</t>
  </si>
  <si>
    <t xml:space="preserve">ACERO CEVALLOS KEVIN ALEXANDER </t>
  </si>
  <si>
    <t>1725219412</t>
  </si>
  <si>
    <t xml:space="preserve">ARROYO BASTIDAS ANYI YOMAR </t>
  </si>
  <si>
    <t>1759521410</t>
  </si>
  <si>
    <t xml:space="preserve">BASTIDAS MARIA CRUZ </t>
  </si>
  <si>
    <t>1759521402</t>
  </si>
  <si>
    <t xml:space="preserve">BAZURTO CALDERON JORDAN ALFREDO </t>
  </si>
  <si>
    <t>2350393944</t>
  </si>
  <si>
    <t xml:space="preserve">CHICAIZA CAJAMARCA MAYRA JANNETH </t>
  </si>
  <si>
    <t>1719565432</t>
  </si>
  <si>
    <t xml:space="preserve">CHIMARRO QUISHPE YAQUELIN YOLANDA </t>
  </si>
  <si>
    <t>1728444959</t>
  </si>
  <si>
    <t xml:space="preserve">CHIPE ZAMBRANO CRISTIAN ALEJANDRO </t>
  </si>
  <si>
    <t>1723393623</t>
  </si>
  <si>
    <t xml:space="preserve">CORDOVA COLLAGUAZO HOWAR RUDBEL </t>
  </si>
  <si>
    <t>1714252887</t>
  </si>
  <si>
    <t xml:space="preserve">DUARTE CAÑA DANIREE DEL CARMEN </t>
  </si>
  <si>
    <t>1759978891</t>
  </si>
  <si>
    <t xml:space="preserve">ESPIN BERMELLO BRYAN ALEXANDER </t>
  </si>
  <si>
    <t>1755852538</t>
  </si>
  <si>
    <t xml:space="preserve">FLORES GUACHAMIN DIEGO FABIAN </t>
  </si>
  <si>
    <t>1752117778</t>
  </si>
  <si>
    <t xml:space="preserve">FLORES HERRERIA JOSSELYN DE LOS ANGELES </t>
  </si>
  <si>
    <t>1717727059</t>
  </si>
  <si>
    <t xml:space="preserve">JAMA LOPEZ JAIME JOVANNY </t>
  </si>
  <si>
    <t>1204716995</t>
  </si>
  <si>
    <t xml:space="preserve">JIMENEZ GONZALEZ INMAILIS PIERINA </t>
  </si>
  <si>
    <t>1761770716</t>
  </si>
  <si>
    <t xml:space="preserve">LICTO TALLANA JEAN PIERE </t>
  </si>
  <si>
    <t>1755801535</t>
  </si>
  <si>
    <t xml:space="preserve">LOMAS ESPINOSA REMIGIO GUSTAVO </t>
  </si>
  <si>
    <t>1707507313</t>
  </si>
  <si>
    <t xml:space="preserve">LOMAS ESPINOSA VERONICA ALEXANDRA </t>
  </si>
  <si>
    <t>1707524987</t>
  </si>
  <si>
    <t xml:space="preserve">MANCILLA CARBO VIVIANA RAQUEL </t>
  </si>
  <si>
    <t>1755098371</t>
  </si>
  <si>
    <t xml:space="preserve">PROAÑO LOPEZ BRYAN ALEXIS </t>
  </si>
  <si>
    <t>1804928701</t>
  </si>
  <si>
    <t xml:space="preserve">PUMA CALUÑA ANDERSON STIVEN </t>
  </si>
  <si>
    <t>1752591915</t>
  </si>
  <si>
    <t xml:space="preserve">SANCHEZ FLORES JEFFERSON JAVIER </t>
  </si>
  <si>
    <t>1727539163</t>
  </si>
  <si>
    <t xml:space="preserve">SANCHEZ REMACHE JUAN FRANCISCO </t>
  </si>
  <si>
    <t>1714616768</t>
  </si>
  <si>
    <t xml:space="preserve">VALENCIA GUAICO ZAHID MIJAEL </t>
  </si>
  <si>
    <t>1753673837</t>
  </si>
  <si>
    <t>Quito    10-julio-2026</t>
  </si>
  <si>
    <t>Quito    09-julio-2026</t>
  </si>
  <si>
    <t>CIUDAD BICENTENARIO</t>
  </si>
  <si>
    <t>SAN ANTONIO DE PICHINCHA</t>
  </si>
  <si>
    <t xml:space="preserve">CALDERON </t>
  </si>
  <si>
    <t xml:space="preserve">MITAD DEL MUNDO </t>
  </si>
  <si>
    <t>IÑAQUITO</t>
  </si>
  <si>
    <t xml:space="preserve">CONOCOTO </t>
  </si>
  <si>
    <t xml:space="preserve">COTOCOLLAO </t>
  </si>
  <si>
    <t>REAL AUDIENCIA</t>
  </si>
  <si>
    <t>LA OFELIA</t>
  </si>
  <si>
    <t xml:space="preserve">CARCAYACU </t>
  </si>
  <si>
    <t xml:space="preserve">LA ROLDOS </t>
  </si>
  <si>
    <t>ZABALA</t>
  </si>
  <si>
    <t xml:space="preserve">SAN JOSE DE OBRERO </t>
  </si>
  <si>
    <t>EL CONDADO</t>
  </si>
  <si>
    <t>kacero688@gmail.com</t>
  </si>
  <si>
    <t>anyiyomar1517@gmail.com</t>
  </si>
  <si>
    <t>mariacruzbastidas958@gmail.com</t>
  </si>
  <si>
    <t>bazurtojordan30@gmail.com</t>
  </si>
  <si>
    <t>jannethchicaiza1988@gmail.com</t>
  </si>
  <si>
    <t>chimarro23@gmail.com</t>
  </si>
  <si>
    <t>chipe@hotmail.es</t>
  </si>
  <si>
    <t>cordovahowar755@gmail.com</t>
  </si>
  <si>
    <t>danirachel24@gmail.com</t>
  </si>
  <si>
    <t>alexespin965@gmail.com</t>
  </si>
  <si>
    <t>diegofloresdecimoc@gmail.com</t>
  </si>
  <si>
    <t>josselyn23@gmail.com</t>
  </si>
  <si>
    <t>jaimejama@hotmail.com</t>
  </si>
  <si>
    <t>jimenezinmailis@gmail.com</t>
  </si>
  <si>
    <t>jeanpierelicto@gmail.com</t>
  </si>
  <si>
    <t>lomasremigio@gmail.com</t>
  </si>
  <si>
    <t>lomasespinosaveronica@gmail.com</t>
  </si>
  <si>
    <t>mancillaviviana2@gmail.com</t>
  </si>
  <si>
    <t>proanobryan@gmail.com</t>
  </si>
  <si>
    <t>pumanderson@gmail.com</t>
  </si>
  <si>
    <t>jefferson2001@gmail.com</t>
  </si>
  <si>
    <t>ds0719963@gmail.com</t>
  </si>
  <si>
    <t>valenciagzahid9nok@gmail.com</t>
  </si>
  <si>
    <t>DAIC 019 2026</t>
  </si>
  <si>
    <t>17-julio-2003</t>
  </si>
  <si>
    <t>22-diciembre-2000</t>
  </si>
  <si>
    <t>05-mayo-1983</t>
  </si>
  <si>
    <t>30-junio-2008</t>
  </si>
  <si>
    <t>16-octubre-1988</t>
  </si>
  <si>
    <t>05-marzo-2001</t>
  </si>
  <si>
    <t>19-junio-2002</t>
  </si>
  <si>
    <t>01-enero-1975</t>
  </si>
  <si>
    <t>30-septiembre-1989</t>
  </si>
  <si>
    <t>08-marzo-2007</t>
  </si>
  <si>
    <t>28-diciembre-2006</t>
  </si>
  <si>
    <t>25-febrero-1993</t>
  </si>
  <si>
    <t>22-mayo-1981</t>
  </si>
  <si>
    <t>15-abril-2002</t>
  </si>
  <si>
    <t>13-febrero-2005</t>
  </si>
  <si>
    <t>02-enero-1964</t>
  </si>
  <si>
    <t>04-marzo-1971</t>
  </si>
  <si>
    <t>21-junio-1999</t>
  </si>
  <si>
    <t>02-agosto-1996</t>
  </si>
  <si>
    <t>02-febrero-2008</t>
  </si>
  <si>
    <t>03-septiembre-2001</t>
  </si>
  <si>
    <t>21-agosto-1975</t>
  </si>
  <si>
    <t>25-junio-2008</t>
  </si>
  <si>
    <t>0992505946-</t>
  </si>
  <si>
    <t>0958850580-</t>
  </si>
  <si>
    <t>0993791860-</t>
  </si>
  <si>
    <t>0990744804-</t>
  </si>
  <si>
    <t>0961115194-</t>
  </si>
  <si>
    <t>0997456983-</t>
  </si>
  <si>
    <t>0995743697-</t>
  </si>
  <si>
    <t>0991258343-</t>
  </si>
  <si>
    <t>0985207371-0982315438</t>
  </si>
  <si>
    <t>0989058927-</t>
  </si>
  <si>
    <t>0992240450-</t>
  </si>
  <si>
    <t>0995713566-</t>
  </si>
  <si>
    <t>0997416547-</t>
  </si>
  <si>
    <t>0962098670-</t>
  </si>
  <si>
    <t>0997874124-</t>
  </si>
  <si>
    <t>0997426549-</t>
  </si>
  <si>
    <t>0968648105-</t>
  </si>
  <si>
    <t>0997413597-</t>
  </si>
  <si>
    <t>0995741356-</t>
  </si>
  <si>
    <t>0997484977-</t>
  </si>
  <si>
    <t>0983494803-</t>
  </si>
  <si>
    <t>0982063595-0961021278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</si>
</sst>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m\-yyyy"/>
    <numFmt numFmtId="165" formatCode="[$-300A]d&quot; de &quot;mmmm&quot; de &quot;yyyy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14" fontId="0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2" borderId="0" xfId="0" applyFont="1" applyFill="1"/>
    <xf numFmtId="164" fontId="0" fillId="0" borderId="0" xfId="0" applyNumberFormat="1" applyFont="1"/>
    <xf numFmtId="49" fontId="0" fillId="3" borderId="1" xfId="0" applyNumberFormat="1" applyFont="1" applyFill="1" applyBorder="1" applyAlignment="1">
      <alignment horizontal="left" vertical="center"/>
    </xf>
    <xf numFmtId="0" fontId="0" fillId="0" borderId="1" xfId="0" applyFont="1" applyBorder="1"/>
    <xf numFmtId="165" fontId="0" fillId="0" borderId="0" xfId="0" applyNumberFormat="1" applyFont="1"/>
    <xf numFmtId="0" fontId="0" fillId="0" borderId="2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topLeftCell="I1" zoomScale="80" zoomScaleNormal="80" workbookViewId="0">
      <selection activeCell="U18" sqref="U18"/>
    </sheetView>
  </sheetViews>
  <sheetFormatPr baseColWidth="10" defaultRowHeight="15" x14ac:dyDescent="0.25"/>
  <cols>
    <col min="1" max="3" width="15.5703125" customWidth="1"/>
    <col min="6" max="6" width="14.140625" bestFit="1" customWidth="1"/>
    <col min="7" max="7" width="13.42578125" bestFit="1" customWidth="1"/>
    <col min="8" max="8" width="44.28515625" bestFit="1" customWidth="1"/>
    <col min="9" max="9" width="15.5703125" bestFit="1" customWidth="1"/>
    <col min="10" max="10" width="14.85546875" bestFit="1" customWidth="1"/>
    <col min="12" max="12" width="19.85546875" bestFit="1" customWidth="1"/>
    <col min="13" max="13" width="22.85546875" bestFit="1" customWidth="1"/>
    <col min="14" max="14" width="23.7109375" bestFit="1" customWidth="1"/>
    <col min="15" max="15" width="37.140625" bestFit="1" customWidth="1"/>
  </cols>
  <sheetData>
    <row r="1" spans="1:15" x14ac:dyDescent="0.25">
      <c r="A1" s="5" t="s">
        <v>0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14</v>
      </c>
      <c r="G1" s="5" t="s">
        <v>15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5" t="s">
        <v>7</v>
      </c>
      <c r="O1" s="5" t="s">
        <v>8</v>
      </c>
    </row>
    <row r="2" spans="1:15" x14ac:dyDescent="0.25">
      <c r="A2" s="7" t="s">
        <v>146</v>
      </c>
      <c r="B2" s="8">
        <v>46204</v>
      </c>
      <c r="C2" s="8">
        <v>46213</v>
      </c>
      <c r="D2" s="8">
        <v>46219</v>
      </c>
      <c r="E2" s="8">
        <v>46227</v>
      </c>
      <c r="F2" s="8" t="s">
        <v>28</v>
      </c>
      <c r="G2" s="8" t="s">
        <v>26</v>
      </c>
      <c r="H2" s="9" t="s">
        <v>61</v>
      </c>
      <c r="I2" s="10" t="s">
        <v>62</v>
      </c>
      <c r="J2" s="11" t="s">
        <v>20</v>
      </c>
      <c r="K2" s="12" t="s">
        <v>21</v>
      </c>
      <c r="L2" s="12" t="s">
        <v>147</v>
      </c>
      <c r="M2" s="12" t="s">
        <v>109</v>
      </c>
      <c r="N2" s="13" t="s">
        <v>170</v>
      </c>
      <c r="O2" s="14" t="s">
        <v>123</v>
      </c>
    </row>
    <row r="3" spans="1:15" x14ac:dyDescent="0.25">
      <c r="A3" s="7" t="s">
        <v>146</v>
      </c>
      <c r="B3" s="8">
        <v>46204</v>
      </c>
      <c r="C3" s="8">
        <v>46213</v>
      </c>
      <c r="D3" s="8">
        <v>46219</v>
      </c>
      <c r="E3" s="8">
        <v>46227</v>
      </c>
      <c r="F3" s="8" t="s">
        <v>24</v>
      </c>
      <c r="G3" s="8" t="s">
        <v>26</v>
      </c>
      <c r="H3" s="15" t="s">
        <v>63</v>
      </c>
      <c r="I3" s="16" t="s">
        <v>64</v>
      </c>
      <c r="J3" s="11" t="s">
        <v>31</v>
      </c>
      <c r="K3" s="12" t="s">
        <v>21</v>
      </c>
      <c r="L3" s="12" t="s">
        <v>148</v>
      </c>
      <c r="M3" s="12" t="s">
        <v>110</v>
      </c>
      <c r="N3" s="13" t="s">
        <v>171</v>
      </c>
      <c r="O3" s="14" t="s">
        <v>124</v>
      </c>
    </row>
    <row r="4" spans="1:15" x14ac:dyDescent="0.25">
      <c r="A4" s="7" t="s">
        <v>146</v>
      </c>
      <c r="B4" s="8">
        <v>46204</v>
      </c>
      <c r="C4" s="8">
        <v>46213</v>
      </c>
      <c r="D4" s="8">
        <v>46219</v>
      </c>
      <c r="E4" s="8">
        <v>46227</v>
      </c>
      <c r="F4" s="8" t="s">
        <v>24</v>
      </c>
      <c r="G4" s="8" t="s">
        <v>26</v>
      </c>
      <c r="H4" s="15" t="s">
        <v>65</v>
      </c>
      <c r="I4" s="16" t="s">
        <v>66</v>
      </c>
      <c r="J4" s="11" t="s">
        <v>31</v>
      </c>
      <c r="K4" s="12" t="s">
        <v>21</v>
      </c>
      <c r="L4" s="12" t="s">
        <v>149</v>
      </c>
      <c r="M4" s="12" t="s">
        <v>110</v>
      </c>
      <c r="N4" s="13" t="s">
        <v>172</v>
      </c>
      <c r="O4" s="14" t="s">
        <v>125</v>
      </c>
    </row>
    <row r="5" spans="1:15" x14ac:dyDescent="0.25">
      <c r="A5" s="7" t="s">
        <v>146</v>
      </c>
      <c r="B5" s="8">
        <v>46204</v>
      </c>
      <c r="C5" s="8">
        <v>46213</v>
      </c>
      <c r="D5" s="8">
        <v>46219</v>
      </c>
      <c r="E5" s="8">
        <v>46227</v>
      </c>
      <c r="F5" s="8" t="s">
        <v>27</v>
      </c>
      <c r="G5" s="8" t="s">
        <v>23</v>
      </c>
      <c r="H5" s="15" t="s">
        <v>67</v>
      </c>
      <c r="I5" s="16" t="s">
        <v>68</v>
      </c>
      <c r="J5" s="11" t="s">
        <v>20</v>
      </c>
      <c r="K5" s="12" t="s">
        <v>21</v>
      </c>
      <c r="L5" s="12" t="s">
        <v>150</v>
      </c>
      <c r="M5" s="12" t="s">
        <v>30</v>
      </c>
      <c r="N5" s="13" t="s">
        <v>173</v>
      </c>
      <c r="O5" s="14" t="s">
        <v>126</v>
      </c>
    </row>
    <row r="6" spans="1:15" x14ac:dyDescent="0.25">
      <c r="A6" s="7" t="s">
        <v>146</v>
      </c>
      <c r="B6" s="8">
        <v>46204</v>
      </c>
      <c r="C6" s="8">
        <v>46213</v>
      </c>
      <c r="D6" s="8">
        <v>46219</v>
      </c>
      <c r="E6" s="8">
        <v>46227</v>
      </c>
      <c r="F6" s="8" t="s">
        <v>23</v>
      </c>
      <c r="G6" s="8" t="s">
        <v>27</v>
      </c>
      <c r="H6" s="15" t="s">
        <v>69</v>
      </c>
      <c r="I6" s="16" t="s">
        <v>70</v>
      </c>
      <c r="J6" s="11" t="s">
        <v>20</v>
      </c>
      <c r="K6" s="12" t="s">
        <v>21</v>
      </c>
      <c r="L6" s="12" t="s">
        <v>151</v>
      </c>
      <c r="M6" s="12" t="s">
        <v>34</v>
      </c>
      <c r="N6" s="13" t="s">
        <v>174</v>
      </c>
      <c r="O6" s="14" t="s">
        <v>127</v>
      </c>
    </row>
    <row r="7" spans="1:15" x14ac:dyDescent="0.25">
      <c r="A7" s="7" t="s">
        <v>146</v>
      </c>
      <c r="B7" s="8">
        <v>46204</v>
      </c>
      <c r="C7" s="8">
        <v>46213</v>
      </c>
      <c r="D7" s="8">
        <v>46219</v>
      </c>
      <c r="E7" s="8">
        <v>46227</v>
      </c>
      <c r="F7" s="8" t="s">
        <v>25</v>
      </c>
      <c r="G7" s="8" t="s">
        <v>26</v>
      </c>
      <c r="H7" s="15" t="s">
        <v>71</v>
      </c>
      <c r="I7" s="16" t="s">
        <v>72</v>
      </c>
      <c r="J7" s="11" t="s">
        <v>20</v>
      </c>
      <c r="K7" s="12" t="s">
        <v>21</v>
      </c>
      <c r="L7" s="12" t="s">
        <v>152</v>
      </c>
      <c r="M7" s="12" t="s">
        <v>111</v>
      </c>
      <c r="N7" s="13" t="s">
        <v>175</v>
      </c>
      <c r="O7" s="14" t="s">
        <v>128</v>
      </c>
    </row>
    <row r="8" spans="1:15" x14ac:dyDescent="0.25">
      <c r="A8" s="7" t="s">
        <v>146</v>
      </c>
      <c r="B8" s="8">
        <v>46204</v>
      </c>
      <c r="C8" s="8">
        <v>46213</v>
      </c>
      <c r="D8" s="8">
        <v>46219</v>
      </c>
      <c r="E8" s="8">
        <v>46227</v>
      </c>
      <c r="F8" s="8" t="s">
        <v>28</v>
      </c>
      <c r="G8" s="8" t="s">
        <v>26</v>
      </c>
      <c r="H8" s="15" t="s">
        <v>73</v>
      </c>
      <c r="I8" s="16" t="s">
        <v>74</v>
      </c>
      <c r="J8" s="11" t="s">
        <v>20</v>
      </c>
      <c r="K8" s="12" t="s">
        <v>22</v>
      </c>
      <c r="L8" s="12" t="s">
        <v>153</v>
      </c>
      <c r="M8" s="12" t="s">
        <v>112</v>
      </c>
      <c r="N8" s="13" t="s">
        <v>176</v>
      </c>
      <c r="O8" s="14" t="s">
        <v>129</v>
      </c>
    </row>
    <row r="9" spans="1:15" x14ac:dyDescent="0.25">
      <c r="A9" s="7" t="s">
        <v>146</v>
      </c>
      <c r="B9" s="8">
        <v>46204</v>
      </c>
      <c r="C9" s="8">
        <v>46213</v>
      </c>
      <c r="D9" s="8">
        <v>46219</v>
      </c>
      <c r="E9" s="8">
        <v>46227</v>
      </c>
      <c r="F9" s="8" t="s">
        <v>27</v>
      </c>
      <c r="G9" s="8" t="s">
        <v>26</v>
      </c>
      <c r="H9" s="15" t="s">
        <v>75</v>
      </c>
      <c r="I9" s="16" t="s">
        <v>76</v>
      </c>
      <c r="J9" s="11" t="s">
        <v>20</v>
      </c>
      <c r="K9" s="12" t="s">
        <v>21</v>
      </c>
      <c r="L9" s="12" t="s">
        <v>154</v>
      </c>
      <c r="M9" s="12" t="s">
        <v>113</v>
      </c>
      <c r="N9" s="13" t="s">
        <v>177</v>
      </c>
      <c r="O9" s="14" t="s">
        <v>130</v>
      </c>
    </row>
    <row r="10" spans="1:15" x14ac:dyDescent="0.25">
      <c r="A10" s="7" t="s">
        <v>146</v>
      </c>
      <c r="B10" s="8">
        <v>46204</v>
      </c>
      <c r="C10" s="8">
        <v>46213</v>
      </c>
      <c r="D10" s="8">
        <v>46219</v>
      </c>
      <c r="E10" s="8">
        <v>46227</v>
      </c>
      <c r="F10" s="8" t="s">
        <v>25</v>
      </c>
      <c r="G10" s="8" t="s">
        <v>26</v>
      </c>
      <c r="H10" s="15" t="s">
        <v>77</v>
      </c>
      <c r="I10" s="16" t="s">
        <v>78</v>
      </c>
      <c r="J10" s="11" t="s">
        <v>32</v>
      </c>
      <c r="K10" s="12" t="s">
        <v>21</v>
      </c>
      <c r="L10" s="12" t="s">
        <v>155</v>
      </c>
      <c r="M10" s="12" t="s">
        <v>114</v>
      </c>
      <c r="N10" s="13" t="s">
        <v>178</v>
      </c>
      <c r="O10" s="14" t="s">
        <v>131</v>
      </c>
    </row>
    <row r="11" spans="1:15" x14ac:dyDescent="0.25">
      <c r="A11" s="7" t="s">
        <v>146</v>
      </c>
      <c r="B11" s="8">
        <v>46204</v>
      </c>
      <c r="C11" s="8">
        <v>46213</v>
      </c>
      <c r="D11" s="8">
        <v>46219</v>
      </c>
      <c r="E11" s="8">
        <v>46227</v>
      </c>
      <c r="F11" s="8" t="s">
        <v>25</v>
      </c>
      <c r="G11" s="8" t="s">
        <v>23</v>
      </c>
      <c r="H11" s="15" t="s">
        <v>79</v>
      </c>
      <c r="I11" s="16" t="s">
        <v>80</v>
      </c>
      <c r="J11" s="11" t="s">
        <v>20</v>
      </c>
      <c r="K11" s="12" t="s">
        <v>22</v>
      </c>
      <c r="L11" s="12" t="s">
        <v>156</v>
      </c>
      <c r="M11" s="12" t="s">
        <v>115</v>
      </c>
      <c r="N11" s="13" t="s">
        <v>179</v>
      </c>
      <c r="O11" s="14" t="s">
        <v>132</v>
      </c>
    </row>
    <row r="12" spans="1:15" x14ac:dyDescent="0.25">
      <c r="A12" s="7" t="s">
        <v>146</v>
      </c>
      <c r="B12" s="8">
        <v>46204</v>
      </c>
      <c r="C12" s="8">
        <v>46213</v>
      </c>
      <c r="D12" s="8">
        <v>46219</v>
      </c>
      <c r="E12" s="8">
        <v>46227</v>
      </c>
      <c r="F12" s="8" t="s">
        <v>23</v>
      </c>
      <c r="G12" s="8" t="s">
        <v>26</v>
      </c>
      <c r="H12" s="15" t="s">
        <v>81</v>
      </c>
      <c r="I12" s="16" t="s">
        <v>82</v>
      </c>
      <c r="J12" s="11" t="s">
        <v>20</v>
      </c>
      <c r="K12" s="12" t="s">
        <v>21</v>
      </c>
      <c r="L12" s="12" t="s">
        <v>157</v>
      </c>
      <c r="M12" s="12" t="s">
        <v>112</v>
      </c>
      <c r="N12" s="13" t="s">
        <v>180</v>
      </c>
      <c r="O12" s="14" t="s">
        <v>133</v>
      </c>
    </row>
    <row r="13" spans="1:15" x14ac:dyDescent="0.25">
      <c r="A13" s="7" t="s">
        <v>146</v>
      </c>
      <c r="B13" s="8">
        <v>46204</v>
      </c>
      <c r="C13" s="8">
        <v>46213</v>
      </c>
      <c r="D13" s="8">
        <v>46219</v>
      </c>
      <c r="E13" s="8">
        <v>46227</v>
      </c>
      <c r="F13" s="8" t="s">
        <v>36</v>
      </c>
      <c r="G13" s="8" t="s">
        <v>26</v>
      </c>
      <c r="H13" s="15" t="s">
        <v>83</v>
      </c>
      <c r="I13" s="16" t="s">
        <v>84</v>
      </c>
      <c r="J13" s="11" t="s">
        <v>20</v>
      </c>
      <c r="K13" s="12" t="s">
        <v>21</v>
      </c>
      <c r="L13" s="12" t="s">
        <v>158</v>
      </c>
      <c r="M13" s="12" t="s">
        <v>116</v>
      </c>
      <c r="N13" s="13" t="s">
        <v>176</v>
      </c>
      <c r="O13" s="14" t="s">
        <v>134</v>
      </c>
    </row>
    <row r="14" spans="1:15" x14ac:dyDescent="0.25">
      <c r="A14" s="7" t="s">
        <v>146</v>
      </c>
      <c r="B14" s="8">
        <v>46204</v>
      </c>
      <c r="C14" s="8">
        <v>46213</v>
      </c>
      <c r="D14" s="8">
        <v>46219</v>
      </c>
      <c r="E14" s="8">
        <v>46227</v>
      </c>
      <c r="F14" s="8" t="s">
        <v>23</v>
      </c>
      <c r="G14" s="8" t="s">
        <v>26</v>
      </c>
      <c r="H14" s="15" t="s">
        <v>85</v>
      </c>
      <c r="I14" s="16" t="s">
        <v>86</v>
      </c>
      <c r="J14" s="11" t="s">
        <v>20</v>
      </c>
      <c r="K14" s="12" t="s">
        <v>22</v>
      </c>
      <c r="L14" s="12" t="s">
        <v>159</v>
      </c>
      <c r="M14" s="12" t="s">
        <v>115</v>
      </c>
      <c r="N14" s="13" t="s">
        <v>181</v>
      </c>
      <c r="O14" s="14" t="s">
        <v>135</v>
      </c>
    </row>
    <row r="15" spans="1:15" x14ac:dyDescent="0.25">
      <c r="A15" s="7" t="s">
        <v>146</v>
      </c>
      <c r="B15" s="8">
        <v>46204</v>
      </c>
      <c r="C15" s="8">
        <v>46213</v>
      </c>
      <c r="D15" s="8">
        <v>46219</v>
      </c>
      <c r="E15" s="8">
        <v>46227</v>
      </c>
      <c r="F15" s="8" t="s">
        <v>24</v>
      </c>
      <c r="G15" s="8" t="s">
        <v>26</v>
      </c>
      <c r="H15" s="15" t="s">
        <v>87</v>
      </c>
      <c r="I15" s="16" t="s">
        <v>88</v>
      </c>
      <c r="J15" s="11" t="s">
        <v>32</v>
      </c>
      <c r="K15" s="12" t="s">
        <v>21</v>
      </c>
      <c r="L15" s="12" t="s">
        <v>160</v>
      </c>
      <c r="M15" s="12" t="s">
        <v>117</v>
      </c>
      <c r="N15" s="13" t="s">
        <v>182</v>
      </c>
      <c r="O15" s="14" t="s">
        <v>136</v>
      </c>
    </row>
    <row r="16" spans="1:15" x14ac:dyDescent="0.25">
      <c r="A16" s="7" t="s">
        <v>146</v>
      </c>
      <c r="B16" s="8">
        <v>46204</v>
      </c>
      <c r="C16" s="8">
        <v>46213</v>
      </c>
      <c r="D16" s="8">
        <v>46219</v>
      </c>
      <c r="E16" s="8">
        <v>46227</v>
      </c>
      <c r="F16" s="8" t="s">
        <v>36</v>
      </c>
      <c r="G16" s="8" t="s">
        <v>23</v>
      </c>
      <c r="H16" s="15" t="s">
        <v>89</v>
      </c>
      <c r="I16" s="16" t="s">
        <v>90</v>
      </c>
      <c r="J16" s="11" t="s">
        <v>20</v>
      </c>
      <c r="K16" s="12" t="s">
        <v>21</v>
      </c>
      <c r="L16" s="12" t="s">
        <v>161</v>
      </c>
      <c r="M16" s="12" t="s">
        <v>118</v>
      </c>
      <c r="N16" s="13" t="s">
        <v>183</v>
      </c>
      <c r="O16" s="14" t="s">
        <v>137</v>
      </c>
    </row>
    <row r="17" spans="1:15" x14ac:dyDescent="0.25">
      <c r="A17" s="7" t="s">
        <v>146</v>
      </c>
      <c r="B17" s="8">
        <v>46204</v>
      </c>
      <c r="C17" s="8">
        <v>46213</v>
      </c>
      <c r="D17" s="8">
        <v>46219</v>
      </c>
      <c r="E17" s="8">
        <v>46227</v>
      </c>
      <c r="F17" s="8" t="s">
        <v>28</v>
      </c>
      <c r="G17" s="8" t="s">
        <v>26</v>
      </c>
      <c r="H17" s="15" t="s">
        <v>91</v>
      </c>
      <c r="I17" s="16" t="s">
        <v>92</v>
      </c>
      <c r="J17" s="11" t="s">
        <v>20</v>
      </c>
      <c r="K17" s="12" t="s">
        <v>21</v>
      </c>
      <c r="L17" s="12" t="s">
        <v>162</v>
      </c>
      <c r="M17" s="12" t="s">
        <v>119</v>
      </c>
      <c r="N17" s="13" t="s">
        <v>184</v>
      </c>
      <c r="O17" s="14" t="s">
        <v>138</v>
      </c>
    </row>
    <row r="18" spans="1:15" x14ac:dyDescent="0.25">
      <c r="A18" s="7" t="s">
        <v>146</v>
      </c>
      <c r="B18" s="8">
        <v>46204</v>
      </c>
      <c r="C18" s="8">
        <v>46213</v>
      </c>
      <c r="D18" s="8">
        <v>46219</v>
      </c>
      <c r="E18" s="8">
        <v>46227</v>
      </c>
      <c r="F18" s="8" t="s">
        <v>27</v>
      </c>
      <c r="G18" s="8" t="s">
        <v>26</v>
      </c>
      <c r="H18" s="15" t="s">
        <v>93</v>
      </c>
      <c r="I18" s="16" t="s">
        <v>94</v>
      </c>
      <c r="J18" s="11" t="s">
        <v>20</v>
      </c>
      <c r="K18" s="12" t="s">
        <v>21</v>
      </c>
      <c r="L18" s="12" t="s">
        <v>163</v>
      </c>
      <c r="M18" s="12" t="s">
        <v>30</v>
      </c>
      <c r="N18" s="13" t="s">
        <v>185</v>
      </c>
      <c r="O18" s="14" t="s">
        <v>139</v>
      </c>
    </row>
    <row r="19" spans="1:15" x14ac:dyDescent="0.25">
      <c r="A19" s="7" t="s">
        <v>146</v>
      </c>
      <c r="B19" s="8">
        <v>46204</v>
      </c>
      <c r="C19" s="8">
        <v>46213</v>
      </c>
      <c r="D19" s="8">
        <v>46219</v>
      </c>
      <c r="E19" s="8">
        <v>46227</v>
      </c>
      <c r="F19" s="8" t="s">
        <v>28</v>
      </c>
      <c r="G19" s="8" t="s">
        <v>26</v>
      </c>
      <c r="H19" s="15" t="s">
        <v>95</v>
      </c>
      <c r="I19" s="16" t="s">
        <v>96</v>
      </c>
      <c r="J19" s="11" t="s">
        <v>20</v>
      </c>
      <c r="K19" s="12" t="s">
        <v>29</v>
      </c>
      <c r="L19" s="12" t="s">
        <v>164</v>
      </c>
      <c r="M19" s="12" t="s">
        <v>35</v>
      </c>
      <c r="N19" s="13" t="s">
        <v>186</v>
      </c>
      <c r="O19" s="14" t="s">
        <v>140</v>
      </c>
    </row>
    <row r="20" spans="1:15" x14ac:dyDescent="0.25">
      <c r="A20" s="7" t="s">
        <v>146</v>
      </c>
      <c r="B20" s="8">
        <v>46204</v>
      </c>
      <c r="C20" s="8">
        <v>46213</v>
      </c>
      <c r="D20" s="8">
        <v>46219</v>
      </c>
      <c r="E20" s="8">
        <v>46227</v>
      </c>
      <c r="F20" s="8" t="s">
        <v>24</v>
      </c>
      <c r="G20" s="8" t="s">
        <v>26</v>
      </c>
      <c r="H20" s="15" t="s">
        <v>97</v>
      </c>
      <c r="I20" s="16" t="s">
        <v>98</v>
      </c>
      <c r="J20" s="11" t="s">
        <v>20</v>
      </c>
      <c r="K20" s="12" t="s">
        <v>22</v>
      </c>
      <c r="L20" s="12" t="s">
        <v>165</v>
      </c>
      <c r="M20" s="12" t="s">
        <v>115</v>
      </c>
      <c r="N20" s="13" t="s">
        <v>187</v>
      </c>
      <c r="O20" s="14" t="s">
        <v>141</v>
      </c>
    </row>
    <row r="21" spans="1:15" x14ac:dyDescent="0.25">
      <c r="A21" s="7" t="s">
        <v>146</v>
      </c>
      <c r="B21" s="8">
        <v>46204</v>
      </c>
      <c r="C21" s="8">
        <v>46213</v>
      </c>
      <c r="D21" s="8">
        <v>46219</v>
      </c>
      <c r="E21" s="8">
        <v>46227</v>
      </c>
      <c r="F21" s="8" t="s">
        <v>25</v>
      </c>
      <c r="G21" s="8" t="s">
        <v>26</v>
      </c>
      <c r="H21" s="15" t="s">
        <v>99</v>
      </c>
      <c r="I21" s="16" t="s">
        <v>100</v>
      </c>
      <c r="J21" s="11" t="s">
        <v>20</v>
      </c>
      <c r="K21" s="12" t="s">
        <v>21</v>
      </c>
      <c r="L21" s="12" t="s">
        <v>166</v>
      </c>
      <c r="M21" s="12" t="s">
        <v>33</v>
      </c>
      <c r="N21" s="13" t="s">
        <v>188</v>
      </c>
      <c r="O21" s="14" t="s">
        <v>142</v>
      </c>
    </row>
    <row r="22" spans="1:15" x14ac:dyDescent="0.25">
      <c r="A22" s="7" t="s">
        <v>146</v>
      </c>
      <c r="B22" s="8">
        <v>46204</v>
      </c>
      <c r="C22" s="8">
        <v>46213</v>
      </c>
      <c r="D22" s="8">
        <v>46219</v>
      </c>
      <c r="E22" s="8">
        <v>46227</v>
      </c>
      <c r="F22" s="8" t="s">
        <v>27</v>
      </c>
      <c r="G22" s="8" t="s">
        <v>26</v>
      </c>
      <c r="H22" s="15" t="s">
        <v>101</v>
      </c>
      <c r="I22" s="16" t="s">
        <v>102</v>
      </c>
      <c r="J22" s="11" t="s">
        <v>20</v>
      </c>
      <c r="K22" s="12" t="s">
        <v>21</v>
      </c>
      <c r="L22" s="12" t="s">
        <v>167</v>
      </c>
      <c r="M22" s="12" t="s">
        <v>120</v>
      </c>
      <c r="N22" s="13" t="s">
        <v>189</v>
      </c>
      <c r="O22" s="14" t="s">
        <v>143</v>
      </c>
    </row>
    <row r="23" spans="1:15" x14ac:dyDescent="0.25">
      <c r="A23" s="7" t="s">
        <v>146</v>
      </c>
      <c r="B23" s="8">
        <v>46204</v>
      </c>
      <c r="C23" s="8">
        <v>46213</v>
      </c>
      <c r="D23" s="8">
        <v>46219</v>
      </c>
      <c r="E23" s="8">
        <v>46227</v>
      </c>
      <c r="F23" s="8" t="s">
        <v>36</v>
      </c>
      <c r="G23" s="8" t="s">
        <v>26</v>
      </c>
      <c r="H23" s="15" t="s">
        <v>103</v>
      </c>
      <c r="I23" s="16" t="s">
        <v>104</v>
      </c>
      <c r="J23" s="11" t="s">
        <v>20</v>
      </c>
      <c r="K23" s="12" t="s">
        <v>21</v>
      </c>
      <c r="L23" s="12" t="s">
        <v>168</v>
      </c>
      <c r="M23" s="12" t="s">
        <v>121</v>
      </c>
      <c r="N23" s="13" t="s">
        <v>190</v>
      </c>
      <c r="O23" s="14" t="s">
        <v>144</v>
      </c>
    </row>
    <row r="24" spans="1:15" x14ac:dyDescent="0.25">
      <c r="A24" s="7" t="s">
        <v>146</v>
      </c>
      <c r="B24" s="8">
        <v>46204</v>
      </c>
      <c r="C24" s="8">
        <v>46213</v>
      </c>
      <c r="D24" s="8">
        <v>46219</v>
      </c>
      <c r="E24" s="8">
        <v>46227</v>
      </c>
      <c r="F24" s="8" t="s">
        <v>23</v>
      </c>
      <c r="G24" s="8" t="s">
        <v>26</v>
      </c>
      <c r="H24" s="15" t="s">
        <v>105</v>
      </c>
      <c r="I24" s="16" t="s">
        <v>106</v>
      </c>
      <c r="J24" s="11" t="s">
        <v>20</v>
      </c>
      <c r="K24" s="12" t="s">
        <v>21</v>
      </c>
      <c r="L24" s="12" t="s">
        <v>169</v>
      </c>
      <c r="M24" s="12" t="s">
        <v>122</v>
      </c>
      <c r="N24" s="13" t="s">
        <v>191</v>
      </c>
      <c r="O24" s="14" t="s">
        <v>145</v>
      </c>
    </row>
  </sheetData>
  <conditionalFormatting sqref="K2:M24 O2:O24 H13:I24">
    <cfRule type="expression" dxfId="5" priority="33">
      <formula>ROW()=CELL("fila")</formula>
    </cfRule>
  </conditionalFormatting>
  <conditionalFormatting sqref="H2:I12">
    <cfRule type="expression" dxfId="4" priority="3">
      <formula>ROW()=CELL("fila")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B12" sqref="B12"/>
    </sheetView>
  </sheetViews>
  <sheetFormatPr baseColWidth="10" defaultRowHeight="15" x14ac:dyDescent="0.25"/>
  <cols>
    <col min="1" max="1" width="27.5703125" bestFit="1" customWidth="1"/>
    <col min="2" max="2" width="60" bestFit="1" customWidth="1"/>
    <col min="3" max="3" width="15.5703125" bestFit="1" customWidth="1"/>
  </cols>
  <sheetData>
    <row r="1" spans="1:3" x14ac:dyDescent="0.25">
      <c r="A1" s="3" t="s">
        <v>9</v>
      </c>
      <c r="B1" s="3" t="s">
        <v>1</v>
      </c>
      <c r="C1" s="3" t="s">
        <v>2</v>
      </c>
    </row>
    <row r="2" spans="1:3" x14ac:dyDescent="0.25">
      <c r="A2" s="21" t="s">
        <v>107</v>
      </c>
      <c r="B2" s="23" t="s">
        <v>61</v>
      </c>
      <c r="C2" s="6" t="s">
        <v>62</v>
      </c>
    </row>
    <row r="3" spans="1:3" x14ac:dyDescent="0.25">
      <c r="A3" s="21" t="s">
        <v>107</v>
      </c>
      <c r="B3" s="23" t="s">
        <v>63</v>
      </c>
      <c r="C3" s="6" t="s">
        <v>64</v>
      </c>
    </row>
    <row r="4" spans="1:3" x14ac:dyDescent="0.25">
      <c r="A4" s="21" t="s">
        <v>107</v>
      </c>
      <c r="B4" s="23" t="s">
        <v>65</v>
      </c>
      <c r="C4" s="6" t="s">
        <v>66</v>
      </c>
    </row>
    <row r="5" spans="1:3" x14ac:dyDescent="0.25">
      <c r="A5" s="21" t="s">
        <v>108</v>
      </c>
      <c r="B5" s="23" t="s">
        <v>67</v>
      </c>
      <c r="C5" s="6" t="s">
        <v>68</v>
      </c>
    </row>
    <row r="6" spans="1:3" x14ac:dyDescent="0.25">
      <c r="A6" s="21" t="s">
        <v>107</v>
      </c>
      <c r="B6" s="23" t="s">
        <v>69</v>
      </c>
      <c r="C6" s="6" t="s">
        <v>70</v>
      </c>
    </row>
    <row r="7" spans="1:3" x14ac:dyDescent="0.25">
      <c r="A7" s="21" t="s">
        <v>108</v>
      </c>
      <c r="B7" s="23" t="s">
        <v>71</v>
      </c>
      <c r="C7" s="6" t="s">
        <v>72</v>
      </c>
    </row>
    <row r="8" spans="1:3" x14ac:dyDescent="0.25">
      <c r="A8" s="21" t="s">
        <v>107</v>
      </c>
      <c r="B8" s="23" t="s">
        <v>73</v>
      </c>
      <c r="C8" s="6" t="s">
        <v>74</v>
      </c>
    </row>
    <row r="9" spans="1:3" x14ac:dyDescent="0.25">
      <c r="A9" s="21" t="s">
        <v>108</v>
      </c>
      <c r="B9" s="23" t="s">
        <v>75</v>
      </c>
      <c r="C9" s="6" t="s">
        <v>76</v>
      </c>
    </row>
    <row r="10" spans="1:3" x14ac:dyDescent="0.25">
      <c r="A10" s="21" t="s">
        <v>108</v>
      </c>
      <c r="B10" s="23" t="s">
        <v>77</v>
      </c>
      <c r="C10" s="6" t="s">
        <v>78</v>
      </c>
    </row>
    <row r="11" spans="1:3" x14ac:dyDescent="0.25">
      <c r="A11" s="21" t="s">
        <v>107</v>
      </c>
      <c r="B11" s="23" t="s">
        <v>79</v>
      </c>
      <c r="C11" s="6" t="s">
        <v>80</v>
      </c>
    </row>
    <row r="12" spans="1:3" x14ac:dyDescent="0.25">
      <c r="A12" s="21" t="s">
        <v>107</v>
      </c>
      <c r="B12" s="23" t="s">
        <v>81</v>
      </c>
      <c r="C12" s="6" t="s">
        <v>82</v>
      </c>
    </row>
    <row r="13" spans="1:3" x14ac:dyDescent="0.25">
      <c r="A13" s="21" t="s">
        <v>108</v>
      </c>
      <c r="B13" s="23" t="s">
        <v>83</v>
      </c>
      <c r="C13" s="6" t="s">
        <v>84</v>
      </c>
    </row>
    <row r="14" spans="1:3" x14ac:dyDescent="0.25">
      <c r="A14" s="21" t="s">
        <v>107</v>
      </c>
      <c r="B14" s="23" t="s">
        <v>85</v>
      </c>
      <c r="C14" s="6" t="s">
        <v>86</v>
      </c>
    </row>
    <row r="15" spans="1:3" x14ac:dyDescent="0.25">
      <c r="A15" s="21" t="s">
        <v>108</v>
      </c>
      <c r="B15" s="23" t="s">
        <v>87</v>
      </c>
      <c r="C15" s="6" t="s">
        <v>88</v>
      </c>
    </row>
    <row r="16" spans="1:3" x14ac:dyDescent="0.25">
      <c r="A16" s="21" t="s">
        <v>108</v>
      </c>
      <c r="B16" s="23" t="s">
        <v>89</v>
      </c>
      <c r="C16" s="6" t="s">
        <v>90</v>
      </c>
    </row>
    <row r="17" spans="1:3" x14ac:dyDescent="0.25">
      <c r="A17" s="21" t="s">
        <v>108</v>
      </c>
      <c r="B17" s="23" t="s">
        <v>91</v>
      </c>
      <c r="C17" s="6" t="s">
        <v>92</v>
      </c>
    </row>
    <row r="18" spans="1:3" x14ac:dyDescent="0.25">
      <c r="A18" s="21" t="s">
        <v>108</v>
      </c>
      <c r="B18" s="23" t="s">
        <v>93</v>
      </c>
      <c r="C18" s="6" t="s">
        <v>94</v>
      </c>
    </row>
    <row r="19" spans="1:3" x14ac:dyDescent="0.25">
      <c r="A19" s="21" t="s">
        <v>107</v>
      </c>
      <c r="B19" s="23" t="s">
        <v>95</v>
      </c>
      <c r="C19" s="6" t="s">
        <v>96</v>
      </c>
    </row>
    <row r="20" spans="1:3" x14ac:dyDescent="0.25">
      <c r="A20" s="21" t="s">
        <v>108</v>
      </c>
      <c r="B20" s="23" t="s">
        <v>97</v>
      </c>
      <c r="C20" s="6" t="s">
        <v>98</v>
      </c>
    </row>
    <row r="21" spans="1:3" x14ac:dyDescent="0.25">
      <c r="A21" s="21" t="s">
        <v>107</v>
      </c>
      <c r="B21" s="23" t="s">
        <v>99</v>
      </c>
      <c r="C21" s="6" t="s">
        <v>100</v>
      </c>
    </row>
    <row r="22" spans="1:3" x14ac:dyDescent="0.25">
      <c r="A22" s="21" t="s">
        <v>108</v>
      </c>
      <c r="B22" s="23" t="s">
        <v>101</v>
      </c>
      <c r="C22" s="6" t="s">
        <v>102</v>
      </c>
    </row>
    <row r="23" spans="1:3" x14ac:dyDescent="0.25">
      <c r="A23" s="21" t="s">
        <v>107</v>
      </c>
      <c r="B23" s="23" t="s">
        <v>103</v>
      </c>
      <c r="C23" s="6" t="s">
        <v>104</v>
      </c>
    </row>
    <row r="24" spans="1:3" x14ac:dyDescent="0.25">
      <c r="A24" s="21" t="s">
        <v>108</v>
      </c>
      <c r="B24" s="23" t="s">
        <v>105</v>
      </c>
      <c r="C24" s="6" t="s">
        <v>106</v>
      </c>
    </row>
  </sheetData>
  <conditionalFormatting sqref="B2:C24">
    <cfRule type="expression" dxfId="3" priority="4">
      <formula>ROW()=CELL("fila")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8"/>
  <sheetViews>
    <sheetView zoomScale="89" zoomScaleNormal="89" workbookViewId="0">
      <selection activeCell="F2" sqref="F2:F24"/>
    </sheetView>
  </sheetViews>
  <sheetFormatPr baseColWidth="10" defaultRowHeight="15" x14ac:dyDescent="0.25"/>
  <cols>
    <col min="1" max="1" width="3" bestFit="1" customWidth="1"/>
    <col min="2" max="2" width="18.85546875" bestFit="1" customWidth="1"/>
    <col min="3" max="3" width="18.85546875" customWidth="1"/>
    <col min="4" max="4" width="17.5703125" bestFit="1" customWidth="1"/>
    <col min="5" max="5" width="18.5703125" bestFit="1" customWidth="1"/>
    <col min="6" max="6" width="24.5703125" bestFit="1" customWidth="1"/>
    <col min="7" max="7" width="21.7109375" customWidth="1"/>
    <col min="8" max="8" width="22" bestFit="1" customWidth="1"/>
    <col min="9" max="9" width="22" customWidth="1"/>
    <col min="10" max="10" width="28.85546875" bestFit="1" customWidth="1"/>
  </cols>
  <sheetData>
    <row r="1" spans="1:10" x14ac:dyDescent="0.25">
      <c r="B1" s="1" t="s">
        <v>10</v>
      </c>
      <c r="C1" s="2"/>
      <c r="D1" s="17"/>
      <c r="E1" s="17"/>
      <c r="F1" s="2" t="s">
        <v>11</v>
      </c>
      <c r="G1" s="1"/>
      <c r="H1" s="1" t="s">
        <v>9</v>
      </c>
      <c r="I1" s="1"/>
      <c r="J1" s="18" t="s">
        <v>12</v>
      </c>
    </row>
    <row r="2" spans="1:10" x14ac:dyDescent="0.25">
      <c r="A2">
        <v>1</v>
      </c>
      <c r="B2" s="4">
        <v>37819</v>
      </c>
      <c r="C2" s="19" t="str">
        <f>TEXT(B2,"dd-mmmm-yyy")</f>
        <v>17-julio-2003</v>
      </c>
      <c r="D2" s="20" t="s">
        <v>37</v>
      </c>
      <c r="E2" s="6"/>
      <c r="F2" s="17" t="str">
        <f>CONCATENATE(D2,"-",E2)</f>
        <v>0992505946-</v>
      </c>
      <c r="G2" s="21" t="s">
        <v>13</v>
      </c>
      <c r="H2" s="4">
        <v>46213</v>
      </c>
      <c r="I2" s="4" t="str">
        <f>TEXT(H2,"dd-mmmm-yyy")</f>
        <v>10-julio-2026</v>
      </c>
      <c r="J2" s="22" t="str">
        <f>CONCATENATE(G2,"    ",I2)</f>
        <v>Quito    10-julio-2026</v>
      </c>
    </row>
    <row r="3" spans="1:10" x14ac:dyDescent="0.25">
      <c r="A3">
        <v>2</v>
      </c>
      <c r="B3" s="4">
        <v>36882</v>
      </c>
      <c r="C3" s="19" t="str">
        <f t="shared" ref="C3:C12" si="0">TEXT(B3,"dd-mmmm-yyy")</f>
        <v>22-diciembre-2000</v>
      </c>
      <c r="D3" s="20" t="s">
        <v>38</v>
      </c>
      <c r="E3" s="6"/>
      <c r="F3" s="17" t="str">
        <f t="shared" ref="F3:F12" si="1">CONCATENATE(D3,"-",E3)</f>
        <v>0958850580-</v>
      </c>
      <c r="G3" s="21" t="s">
        <v>13</v>
      </c>
      <c r="H3" s="4">
        <v>46213</v>
      </c>
      <c r="I3" s="4" t="str">
        <f t="shared" ref="I3:I12" si="2">TEXT(H3,"dd-mmmm-yyy")</f>
        <v>10-julio-2026</v>
      </c>
      <c r="J3" s="22" t="str">
        <f t="shared" ref="J3:J11" si="3">CONCATENATE(G3,"    ",I3)</f>
        <v>Quito    10-julio-2026</v>
      </c>
    </row>
    <row r="4" spans="1:10" x14ac:dyDescent="0.25">
      <c r="A4">
        <v>3</v>
      </c>
      <c r="B4" s="4">
        <v>30441</v>
      </c>
      <c r="C4" s="19" t="str">
        <f t="shared" si="0"/>
        <v>05-mayo-1983</v>
      </c>
      <c r="D4" s="20" t="s">
        <v>39</v>
      </c>
      <c r="E4" s="6"/>
      <c r="F4" s="17" t="str">
        <f t="shared" si="1"/>
        <v>0993791860-</v>
      </c>
      <c r="G4" s="21" t="s">
        <v>13</v>
      </c>
      <c r="H4" s="4">
        <v>46213</v>
      </c>
      <c r="I4" s="4" t="str">
        <f t="shared" si="2"/>
        <v>10-julio-2026</v>
      </c>
      <c r="J4" s="22" t="str">
        <f t="shared" si="3"/>
        <v>Quito    10-julio-2026</v>
      </c>
    </row>
    <row r="5" spans="1:10" x14ac:dyDescent="0.25">
      <c r="A5">
        <v>4</v>
      </c>
      <c r="B5" s="4">
        <v>39629</v>
      </c>
      <c r="C5" s="19" t="str">
        <f t="shared" si="0"/>
        <v>30-junio-2008</v>
      </c>
      <c r="D5" s="20" t="s">
        <v>40</v>
      </c>
      <c r="E5" s="6"/>
      <c r="F5" s="17" t="str">
        <f t="shared" si="1"/>
        <v>0990744804-</v>
      </c>
      <c r="G5" s="21" t="s">
        <v>13</v>
      </c>
      <c r="H5" s="4">
        <v>46212</v>
      </c>
      <c r="I5" s="4" t="str">
        <f t="shared" si="2"/>
        <v>09-julio-2026</v>
      </c>
      <c r="J5" s="22" t="str">
        <f t="shared" si="3"/>
        <v>Quito    09-julio-2026</v>
      </c>
    </row>
    <row r="6" spans="1:10" x14ac:dyDescent="0.25">
      <c r="A6">
        <v>5</v>
      </c>
      <c r="B6" s="4">
        <v>32432</v>
      </c>
      <c r="C6" s="19" t="str">
        <f t="shared" si="0"/>
        <v>16-octubre-1988</v>
      </c>
      <c r="D6" s="20" t="s">
        <v>41</v>
      </c>
      <c r="E6" s="6"/>
      <c r="F6" s="17" t="str">
        <f t="shared" si="1"/>
        <v>0961115194-</v>
      </c>
      <c r="G6" s="21" t="s">
        <v>13</v>
      </c>
      <c r="H6" s="4">
        <v>46213</v>
      </c>
      <c r="I6" s="4" t="str">
        <f t="shared" si="2"/>
        <v>10-julio-2026</v>
      </c>
      <c r="J6" s="22" t="str">
        <f t="shared" si="3"/>
        <v>Quito    10-julio-2026</v>
      </c>
    </row>
    <row r="7" spans="1:10" x14ac:dyDescent="0.25">
      <c r="A7">
        <v>6</v>
      </c>
      <c r="B7" s="4">
        <v>36955</v>
      </c>
      <c r="C7" s="19" t="str">
        <f t="shared" si="0"/>
        <v>05-marzo-2001</v>
      </c>
      <c r="D7" s="20" t="s">
        <v>42</v>
      </c>
      <c r="E7" s="6"/>
      <c r="F7" s="17" t="str">
        <f t="shared" si="1"/>
        <v>0997456983-</v>
      </c>
      <c r="G7" s="21" t="s">
        <v>13</v>
      </c>
      <c r="H7" s="4">
        <v>46212</v>
      </c>
      <c r="I7" s="4" t="str">
        <f t="shared" si="2"/>
        <v>09-julio-2026</v>
      </c>
      <c r="J7" s="22" t="str">
        <f t="shared" si="3"/>
        <v>Quito    09-julio-2026</v>
      </c>
    </row>
    <row r="8" spans="1:10" x14ac:dyDescent="0.25">
      <c r="A8">
        <v>7</v>
      </c>
      <c r="B8" s="4">
        <v>37426</v>
      </c>
      <c r="C8" s="19" t="str">
        <f t="shared" si="0"/>
        <v>19-junio-2002</v>
      </c>
      <c r="D8" s="20" t="s">
        <v>43</v>
      </c>
      <c r="E8" s="6"/>
      <c r="F8" s="17" t="str">
        <f t="shared" si="1"/>
        <v>0995743697-</v>
      </c>
      <c r="G8" s="21" t="s">
        <v>13</v>
      </c>
      <c r="H8" s="4">
        <v>46213</v>
      </c>
      <c r="I8" s="4" t="str">
        <f t="shared" si="2"/>
        <v>10-julio-2026</v>
      </c>
      <c r="J8" s="22" t="str">
        <f t="shared" si="3"/>
        <v>Quito    10-julio-2026</v>
      </c>
    </row>
    <row r="9" spans="1:10" x14ac:dyDescent="0.25">
      <c r="A9">
        <v>8</v>
      </c>
      <c r="B9" s="4">
        <v>27395</v>
      </c>
      <c r="C9" s="19" t="str">
        <f t="shared" si="0"/>
        <v>01-enero-1975</v>
      </c>
      <c r="D9" s="20" t="s">
        <v>44</v>
      </c>
      <c r="E9" s="6"/>
      <c r="F9" s="17" t="str">
        <f t="shared" si="1"/>
        <v>0991258343-</v>
      </c>
      <c r="G9" s="21" t="s">
        <v>13</v>
      </c>
      <c r="H9" s="4">
        <v>46212</v>
      </c>
      <c r="I9" s="4" t="str">
        <f t="shared" si="2"/>
        <v>09-julio-2026</v>
      </c>
      <c r="J9" s="22" t="str">
        <f t="shared" si="3"/>
        <v>Quito    09-julio-2026</v>
      </c>
    </row>
    <row r="10" spans="1:10" x14ac:dyDescent="0.25">
      <c r="A10">
        <v>9</v>
      </c>
      <c r="B10" s="4">
        <v>32781</v>
      </c>
      <c r="C10" s="19" t="str">
        <f t="shared" si="0"/>
        <v>30-septiembre-1989</v>
      </c>
      <c r="D10" s="20" t="s">
        <v>45</v>
      </c>
      <c r="E10" s="6" t="s">
        <v>46</v>
      </c>
      <c r="F10" s="17" t="str">
        <f t="shared" si="1"/>
        <v>0985207371-0982315438</v>
      </c>
      <c r="G10" s="21" t="s">
        <v>13</v>
      </c>
      <c r="H10" s="4">
        <v>46212</v>
      </c>
      <c r="I10" s="4" t="str">
        <f t="shared" si="2"/>
        <v>09-julio-2026</v>
      </c>
      <c r="J10" s="22" t="str">
        <f t="shared" si="3"/>
        <v>Quito    09-julio-2026</v>
      </c>
    </row>
    <row r="11" spans="1:10" x14ac:dyDescent="0.25">
      <c r="A11">
        <v>10</v>
      </c>
      <c r="B11" s="4">
        <v>39149</v>
      </c>
      <c r="C11" s="19" t="str">
        <f t="shared" si="0"/>
        <v>08-marzo-2007</v>
      </c>
      <c r="D11" s="20" t="s">
        <v>47</v>
      </c>
      <c r="E11" s="6"/>
      <c r="F11" s="17" t="str">
        <f t="shared" si="1"/>
        <v>0989058927-</v>
      </c>
      <c r="G11" s="21" t="s">
        <v>13</v>
      </c>
      <c r="H11" s="4">
        <v>46213</v>
      </c>
      <c r="I11" s="4" t="str">
        <f t="shared" si="2"/>
        <v>10-julio-2026</v>
      </c>
      <c r="J11" s="22" t="str">
        <f t="shared" si="3"/>
        <v>Quito    10-julio-2026</v>
      </c>
    </row>
    <row r="12" spans="1:10" x14ac:dyDescent="0.25">
      <c r="A12">
        <v>11</v>
      </c>
      <c r="B12" s="4">
        <v>39079</v>
      </c>
      <c r="C12" s="19" t="str">
        <f t="shared" si="0"/>
        <v>28-diciembre-2006</v>
      </c>
      <c r="D12" s="20" t="s">
        <v>48</v>
      </c>
      <c r="E12" s="6"/>
      <c r="F12" s="17" t="str">
        <f t="shared" si="1"/>
        <v>0992240450-</v>
      </c>
      <c r="G12" s="21" t="s">
        <v>13</v>
      </c>
      <c r="H12" s="4">
        <v>46213</v>
      </c>
      <c r="I12" s="4" t="str">
        <f t="shared" si="2"/>
        <v>10-julio-2026</v>
      </c>
      <c r="J12" s="22" t="str">
        <f>CONCATENATE(G12,"    ",I12)</f>
        <v>Quito    10-julio-2026</v>
      </c>
    </row>
    <row r="13" spans="1:10" x14ac:dyDescent="0.25">
      <c r="A13">
        <v>12</v>
      </c>
      <c r="B13" s="4">
        <v>34025</v>
      </c>
      <c r="C13" s="19" t="str">
        <f t="shared" ref="C13" si="4">TEXT(B13,"dd-mmmm-yyy")</f>
        <v>25-febrero-1993</v>
      </c>
      <c r="D13" s="20" t="s">
        <v>43</v>
      </c>
      <c r="E13" s="6"/>
      <c r="F13" s="17" t="str">
        <f t="shared" ref="F13" si="5">CONCATENATE(D13,"-",E13)</f>
        <v>0995743697-</v>
      </c>
      <c r="G13" s="21" t="s">
        <v>13</v>
      </c>
      <c r="H13" s="4">
        <v>46212</v>
      </c>
      <c r="I13" s="4" t="str">
        <f t="shared" ref="I13" si="6">TEXT(H13,"dd-mmmm-yyy")</f>
        <v>09-julio-2026</v>
      </c>
      <c r="J13" s="22" t="str">
        <f t="shared" ref="J13" si="7">CONCATENATE(G13,"    ",I13)</f>
        <v>Quito    09-julio-2026</v>
      </c>
    </row>
    <row r="14" spans="1:10" x14ac:dyDescent="0.25">
      <c r="A14">
        <v>13</v>
      </c>
      <c r="B14" s="4">
        <v>29728</v>
      </c>
      <c r="C14" s="19" t="str">
        <f t="shared" ref="C14:C24" si="8">TEXT(B14,"dd-mmmm-yyy")</f>
        <v>22-mayo-1981</v>
      </c>
      <c r="D14" s="20" t="s">
        <v>49</v>
      </c>
      <c r="E14" s="6"/>
      <c r="F14" s="17" t="str">
        <f t="shared" ref="F14:F18" si="9">CONCATENATE(D14,"-",E14)</f>
        <v>0995713566-</v>
      </c>
      <c r="G14" s="21" t="s">
        <v>13</v>
      </c>
      <c r="H14" s="4">
        <v>46213</v>
      </c>
      <c r="I14" s="4" t="str">
        <f t="shared" ref="I14" si="10">TEXT(H14,"dd-mmmm-yyy")</f>
        <v>10-julio-2026</v>
      </c>
      <c r="J14" s="22" t="str">
        <f t="shared" ref="J14" si="11">CONCATENATE(G14,"    ",I14)</f>
        <v>Quito    10-julio-2026</v>
      </c>
    </row>
    <row r="15" spans="1:10" x14ac:dyDescent="0.25">
      <c r="A15">
        <v>14</v>
      </c>
      <c r="B15" s="4">
        <v>37361</v>
      </c>
      <c r="C15" s="19" t="str">
        <f t="shared" si="8"/>
        <v>15-abril-2002</v>
      </c>
      <c r="D15" s="20" t="s">
        <v>50</v>
      </c>
      <c r="E15" s="6"/>
      <c r="F15" s="17" t="str">
        <f t="shared" si="9"/>
        <v>0997416547-</v>
      </c>
      <c r="G15" s="21" t="s">
        <v>13</v>
      </c>
      <c r="H15" s="4">
        <v>46212</v>
      </c>
      <c r="I15" s="4" t="str">
        <f t="shared" ref="I15:I21" si="12">TEXT(H15,"dd-mmmm-yyy")</f>
        <v>09-julio-2026</v>
      </c>
      <c r="J15" s="22" t="str">
        <f t="shared" ref="J15:J21" si="13">CONCATENATE(G15,"    ",I15)</f>
        <v>Quito    09-julio-2026</v>
      </c>
    </row>
    <row r="16" spans="1:10" x14ac:dyDescent="0.25">
      <c r="A16">
        <v>15</v>
      </c>
      <c r="B16" s="4">
        <v>38396</v>
      </c>
      <c r="C16" s="19" t="str">
        <f t="shared" si="8"/>
        <v>13-febrero-2005</v>
      </c>
      <c r="D16" s="20" t="s">
        <v>51</v>
      </c>
      <c r="E16" s="6"/>
      <c r="F16" s="17" t="str">
        <f t="shared" si="9"/>
        <v>0962098670-</v>
      </c>
      <c r="G16" s="21" t="s">
        <v>13</v>
      </c>
      <c r="H16" s="4">
        <v>46212</v>
      </c>
      <c r="I16" s="4" t="str">
        <f t="shared" si="12"/>
        <v>09-julio-2026</v>
      </c>
      <c r="J16" s="22" t="str">
        <f t="shared" si="13"/>
        <v>Quito    09-julio-2026</v>
      </c>
    </row>
    <row r="17" spans="1:10" x14ac:dyDescent="0.25">
      <c r="A17">
        <v>16</v>
      </c>
      <c r="B17" s="4">
        <v>23378</v>
      </c>
      <c r="C17" s="19" t="str">
        <f t="shared" si="8"/>
        <v>02-enero-1964</v>
      </c>
      <c r="D17" s="20" t="s">
        <v>52</v>
      </c>
      <c r="E17" s="6"/>
      <c r="F17" s="17" t="str">
        <f t="shared" si="9"/>
        <v>0997874124-</v>
      </c>
      <c r="G17" s="21" t="s">
        <v>13</v>
      </c>
      <c r="H17" s="4">
        <v>46212</v>
      </c>
      <c r="I17" s="4" t="str">
        <f t="shared" si="12"/>
        <v>09-julio-2026</v>
      </c>
      <c r="J17" s="22" t="str">
        <f t="shared" si="13"/>
        <v>Quito    09-julio-2026</v>
      </c>
    </row>
    <row r="18" spans="1:10" x14ac:dyDescent="0.25">
      <c r="A18">
        <v>17</v>
      </c>
      <c r="B18" s="4">
        <v>25996</v>
      </c>
      <c r="C18" s="19" t="str">
        <f t="shared" si="8"/>
        <v>04-marzo-1971</v>
      </c>
      <c r="D18" s="20" t="s">
        <v>53</v>
      </c>
      <c r="E18" s="6"/>
      <c r="F18" s="17" t="str">
        <f t="shared" si="9"/>
        <v>0997426549-</v>
      </c>
      <c r="G18" s="21" t="s">
        <v>13</v>
      </c>
      <c r="H18" s="4">
        <v>46212</v>
      </c>
      <c r="I18" s="4" t="str">
        <f t="shared" si="12"/>
        <v>09-julio-2026</v>
      </c>
      <c r="J18" s="22" t="str">
        <f t="shared" si="13"/>
        <v>Quito    09-julio-2026</v>
      </c>
    </row>
    <row r="19" spans="1:10" x14ac:dyDescent="0.25">
      <c r="A19">
        <v>18</v>
      </c>
      <c r="B19" s="4">
        <v>36332</v>
      </c>
      <c r="C19" s="19" t="str">
        <f t="shared" ref="C19:C22" si="14">TEXT(B19,"dd-mmmm-yyy")</f>
        <v>21-junio-1999</v>
      </c>
      <c r="D19" s="20" t="s">
        <v>54</v>
      </c>
      <c r="E19" s="6"/>
      <c r="F19" s="17" t="str">
        <f t="shared" ref="F19:F21" si="15">CONCATENATE(D19,"-",E19)</f>
        <v>0968648105-</v>
      </c>
      <c r="G19" s="21" t="s">
        <v>13</v>
      </c>
      <c r="H19" s="4">
        <v>46213</v>
      </c>
      <c r="I19" s="4" t="str">
        <f t="shared" si="12"/>
        <v>10-julio-2026</v>
      </c>
      <c r="J19" s="22" t="str">
        <f t="shared" si="13"/>
        <v>Quito    10-julio-2026</v>
      </c>
    </row>
    <row r="20" spans="1:10" x14ac:dyDescent="0.25">
      <c r="A20">
        <v>19</v>
      </c>
      <c r="B20" s="4">
        <v>35279</v>
      </c>
      <c r="C20" s="19" t="str">
        <f t="shared" si="8"/>
        <v>02-agosto-1996</v>
      </c>
      <c r="D20" s="20" t="s">
        <v>55</v>
      </c>
      <c r="E20" s="6"/>
      <c r="F20" s="17" t="str">
        <f t="shared" si="15"/>
        <v>0997413597-</v>
      </c>
      <c r="G20" s="21" t="s">
        <v>13</v>
      </c>
      <c r="H20" s="4">
        <v>46212</v>
      </c>
      <c r="I20" s="4" t="str">
        <f t="shared" ref="I20" si="16">TEXT(H20,"dd-mmmm-yyy")</f>
        <v>09-julio-2026</v>
      </c>
      <c r="J20" s="22" t="str">
        <f t="shared" ref="J20" si="17">CONCATENATE(G20,"    ",I20)</f>
        <v>Quito    09-julio-2026</v>
      </c>
    </row>
    <row r="21" spans="1:10" x14ac:dyDescent="0.25">
      <c r="A21">
        <v>20</v>
      </c>
      <c r="B21" s="4">
        <v>39480</v>
      </c>
      <c r="C21" s="19" t="str">
        <f t="shared" si="8"/>
        <v>02-febrero-2008</v>
      </c>
      <c r="D21" s="20" t="s">
        <v>56</v>
      </c>
      <c r="E21" s="6"/>
      <c r="F21" s="17" t="str">
        <f t="shared" si="15"/>
        <v>0995741356-</v>
      </c>
      <c r="G21" s="21" t="s">
        <v>13</v>
      </c>
      <c r="H21" s="4">
        <v>46213</v>
      </c>
      <c r="I21" s="4" t="str">
        <f t="shared" si="12"/>
        <v>10-julio-2026</v>
      </c>
      <c r="J21" s="22" t="str">
        <f t="shared" si="13"/>
        <v>Quito    10-julio-2026</v>
      </c>
    </row>
    <row r="22" spans="1:10" x14ac:dyDescent="0.25">
      <c r="A22">
        <v>21</v>
      </c>
      <c r="B22" s="4">
        <v>37137</v>
      </c>
      <c r="C22" s="19" t="str">
        <f t="shared" si="14"/>
        <v>03-septiembre-2001</v>
      </c>
      <c r="D22" s="20" t="s">
        <v>57</v>
      </c>
      <c r="E22" s="6"/>
      <c r="F22" s="17" t="str">
        <f t="shared" ref="F22:F24" si="18">CONCATENATE(D22,"-",E22)</f>
        <v>0997484977-</v>
      </c>
      <c r="G22" s="21" t="s">
        <v>13</v>
      </c>
      <c r="H22" s="4">
        <v>46212</v>
      </c>
      <c r="I22" s="4" t="str">
        <f t="shared" ref="I22:I24" si="19">TEXT(H22,"dd-mmmm-yyy")</f>
        <v>09-julio-2026</v>
      </c>
      <c r="J22" s="22" t="str">
        <f t="shared" ref="J22:J24" si="20">CONCATENATE(G22,"    ",I22)</f>
        <v>Quito    09-julio-2026</v>
      </c>
    </row>
    <row r="23" spans="1:10" x14ac:dyDescent="0.25">
      <c r="A23">
        <v>22</v>
      </c>
      <c r="B23" s="4">
        <v>27627</v>
      </c>
      <c r="C23" s="19" t="str">
        <f t="shared" si="8"/>
        <v>21-agosto-1975</v>
      </c>
      <c r="D23" s="20" t="s">
        <v>58</v>
      </c>
      <c r="E23" s="6"/>
      <c r="F23" s="17" t="str">
        <f t="shared" si="18"/>
        <v>0983494803-</v>
      </c>
      <c r="G23" s="21" t="s">
        <v>13</v>
      </c>
      <c r="H23" s="4">
        <v>46213</v>
      </c>
      <c r="I23" s="4" t="str">
        <f t="shared" si="19"/>
        <v>10-julio-2026</v>
      </c>
      <c r="J23" s="22" t="str">
        <f t="shared" si="20"/>
        <v>Quito    10-julio-2026</v>
      </c>
    </row>
    <row r="24" spans="1:10" x14ac:dyDescent="0.25">
      <c r="A24">
        <v>23</v>
      </c>
      <c r="B24" s="4">
        <v>39624</v>
      </c>
      <c r="C24" s="19" t="str">
        <f t="shared" si="8"/>
        <v>25-junio-2008</v>
      </c>
      <c r="D24" s="20" t="s">
        <v>59</v>
      </c>
      <c r="E24" s="6" t="s">
        <v>60</v>
      </c>
      <c r="F24" s="17" t="str">
        <f t="shared" si="18"/>
        <v>0982063595-0961021278</v>
      </c>
      <c r="G24" s="21" t="s">
        <v>13</v>
      </c>
      <c r="H24" s="4">
        <v>46212</v>
      </c>
      <c r="I24" s="4" t="str">
        <f t="shared" si="19"/>
        <v>09-julio-2026</v>
      </c>
      <c r="J24" s="22" t="str">
        <f t="shared" si="20"/>
        <v>Quito    09-julio-2026</v>
      </c>
    </row>
    <row r="718" spans="21:21" x14ac:dyDescent="0.25">
      <c r="U718">
        <v>9425</v>
      </c>
    </row>
  </sheetData>
  <conditionalFormatting sqref="B2:B24">
    <cfRule type="expression" dxfId="2" priority="20">
      <formula>ROW()=CELL("fila")</formula>
    </cfRule>
  </conditionalFormatting>
  <conditionalFormatting sqref="D2:E24">
    <cfRule type="expression" dxfId="1" priority="12">
      <formula>ROW()=CELL("fila")</formula>
    </cfRule>
  </conditionalFormatting>
  <conditionalFormatting sqref="H2:H24">
    <cfRule type="expression" dxfId="0" priority="5">
      <formula>ROW()=CELL("fila")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</vt:lpstr>
      <vt:lpstr>acuerdo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2023-05-16T22:38:18Z</dcterms:created>
  <dcterms:modified xsi:type="dcterms:W3CDTF">2026-07-13T21:09:47Z</dcterms:modified>
</cp:coreProperties>
</file>